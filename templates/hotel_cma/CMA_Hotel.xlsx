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7" borderId="1" applyAlignment="1" pivotButton="0" quotePrefix="0" xfId="0">
      <alignment horizontal="center" vertical="center"/>
    </xf>
    <xf numFmtId="0" fontId="68" fillId="14" borderId="0" pivotButton="0" quotePrefix="0" xfId="0"/>
    <xf numFmtId="0" fontId="68" fillId="0" borderId="0" pivotButton="0" quotePrefix="0" xfId="0"/>
    <xf numFmtId="3" fontId="50" fillId="7" borderId="1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>
        <is>
          <t>Existing loan / liability details, where applicable</t>
        </is>
      </c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Ratios</t>
        </is>
      </c>
      <c r="C28" t="inlineStr">
        <is>
          <t>Key ratios — liquidity, leverage, profitability, coverage</t>
        </is>
      </c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3">
    <mergeCell ref="B12:C12"/>
    <mergeCell ref="B3:C3"/>
    <mergeCell ref="B2:C2"/>
  </mergeCells>
  <hyperlinks>
    <hyperlink ref="B13" location="Assumptions!A1" display="Assumptions"/>
    <hyperlink ref="B14" location="'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3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4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4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4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4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4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4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4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Room-nights sold (Year 1)</t>
        </is>
      </c>
      <c r="C16" s="121" t="n"/>
      <c r="D16" s="284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5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room tariff (ARR) (Year 1)</t>
        </is>
      </c>
      <c r="C23" s="127" t="n"/>
      <c r="D23" s="284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4" t="inlineStr">
        <is>
          <t>%</t>
        </is>
      </c>
      <c r="H24" s="118" t="n"/>
    </row>
    <row r="25" ht="15" customHeight="1" s="82">
      <c r="B25" s="88" t="inlineStr">
        <is>
          <t>Gross margin on sales (%)  →  Cost of services = Sales × (1 − margin)</t>
        </is>
      </c>
      <c r="C25" s="125" t="n"/>
      <c r="D25" s="284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4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4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4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4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4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4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4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4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4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4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4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4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4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4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4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4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4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4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4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4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4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4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4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4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4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4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4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Food &amp; Beverage / Restaurant</t>
        </is>
      </c>
      <c r="C66" s="257" t="n">
        <v>0</v>
      </c>
      <c r="D66" s="260" t="n">
        <v>0</v>
      </c>
    </row>
    <row r="67">
      <c r="B67" s="188" t="inlineStr">
        <is>
          <t>Conference / Banquet hall</t>
        </is>
      </c>
      <c r="C67" s="257" t="n">
        <v>0</v>
      </c>
      <c r="D67" s="260" t="n">
        <v>0</v>
      </c>
    </row>
    <row r="68">
      <c r="B68" s="188" t="inlineStr">
        <is>
          <t>Weddings / Events</t>
        </is>
      </c>
      <c r="C68" s="257" t="n">
        <v>0</v>
      </c>
      <c r="D68" s="260" t="n">
        <v>0</v>
      </c>
    </row>
    <row r="69">
      <c r="B69" s="188" t="inlineStr">
        <is>
          <t>Other ancillary revenue</t>
        </is>
      </c>
      <c r="C69" s="257" t="n">
        <v>0</v>
      </c>
      <c r="D69" s="260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8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8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8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8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1" t="inlineStr">
        <is>
          <t>REVENUE BUILD-UP  —  Room-nights revenue plus every ancillary revenue stream</t>
        </is>
      </c>
    </row>
    <row r="2">
      <c r="A2" s="262" t="inlineStr">
        <is>
          <t>Volume × price for every revenue line, the total that feeds the P&amp;L and every downstream form, and the split across target-market segments.</t>
        </is>
      </c>
    </row>
    <row r="3">
      <c r="B3" s="263" t="inlineStr">
        <is>
          <t>YEAR 1</t>
        </is>
      </c>
      <c r="O3" s="263" t="inlineStr">
        <is>
          <t>YEAR 2</t>
        </is>
      </c>
      <c r="AB3" s="263" t="inlineStr">
        <is>
          <t>YEAR 3</t>
        </is>
      </c>
      <c r="AO3" s="263" t="inlineStr">
        <is>
          <t>YEAR 4</t>
        </is>
      </c>
      <c r="BB3" s="263" t="inlineStr">
        <is>
          <t>YEAR 5</t>
        </is>
      </c>
    </row>
    <row r="4">
      <c r="A4" s="265" t="inlineStr">
        <is>
          <t>Particulars</t>
        </is>
      </c>
      <c r="B4" s="266" t="inlineStr">
        <is>
          <t>M1</t>
        </is>
      </c>
      <c r="C4" s="266" t="inlineStr">
        <is>
          <t>M2</t>
        </is>
      </c>
      <c r="D4" s="266" t="inlineStr">
        <is>
          <t>M3</t>
        </is>
      </c>
      <c r="E4" s="266" t="inlineStr">
        <is>
          <t>M4</t>
        </is>
      </c>
      <c r="F4" s="266" t="inlineStr">
        <is>
          <t>M5</t>
        </is>
      </c>
      <c r="G4" s="266" t="inlineStr">
        <is>
          <t>M6</t>
        </is>
      </c>
      <c r="H4" s="266" t="inlineStr">
        <is>
          <t>M7</t>
        </is>
      </c>
      <c r="I4" s="266" t="inlineStr">
        <is>
          <t>M8</t>
        </is>
      </c>
      <c r="J4" s="266" t="inlineStr">
        <is>
          <t>M9</t>
        </is>
      </c>
      <c r="K4" s="266" t="inlineStr">
        <is>
          <t>M10</t>
        </is>
      </c>
      <c r="L4" s="266" t="inlineStr">
        <is>
          <t>M11</t>
        </is>
      </c>
      <c r="M4" s="266" t="inlineStr">
        <is>
          <t>M12</t>
        </is>
      </c>
      <c r="N4" s="266" t="inlineStr">
        <is>
          <t>Yr 1 Total</t>
        </is>
      </c>
      <c r="O4" s="266" t="inlineStr">
        <is>
          <t>M1</t>
        </is>
      </c>
      <c r="P4" s="266" t="inlineStr">
        <is>
          <t>M2</t>
        </is>
      </c>
      <c r="Q4" s="266" t="inlineStr">
        <is>
          <t>M3</t>
        </is>
      </c>
      <c r="R4" s="266" t="inlineStr">
        <is>
          <t>M4</t>
        </is>
      </c>
      <c r="S4" s="266" t="inlineStr">
        <is>
          <t>M5</t>
        </is>
      </c>
      <c r="T4" s="266" t="inlineStr">
        <is>
          <t>M6</t>
        </is>
      </c>
      <c r="U4" s="266" t="inlineStr">
        <is>
          <t>M7</t>
        </is>
      </c>
      <c r="V4" s="266" t="inlineStr">
        <is>
          <t>M8</t>
        </is>
      </c>
      <c r="W4" s="266" t="inlineStr">
        <is>
          <t>M9</t>
        </is>
      </c>
      <c r="X4" s="266" t="inlineStr">
        <is>
          <t>M10</t>
        </is>
      </c>
      <c r="Y4" s="266" t="inlineStr">
        <is>
          <t>M11</t>
        </is>
      </c>
      <c r="Z4" s="266" t="inlineStr">
        <is>
          <t>M12</t>
        </is>
      </c>
      <c r="AA4" s="266" t="inlineStr">
        <is>
          <t>Yr 2 Total</t>
        </is>
      </c>
      <c r="AB4" s="266" t="inlineStr">
        <is>
          <t>M1</t>
        </is>
      </c>
      <c r="AC4" s="266" t="inlineStr">
        <is>
          <t>M2</t>
        </is>
      </c>
      <c r="AD4" s="266" t="inlineStr">
        <is>
          <t>M3</t>
        </is>
      </c>
      <c r="AE4" s="266" t="inlineStr">
        <is>
          <t>M4</t>
        </is>
      </c>
      <c r="AF4" s="266" t="inlineStr">
        <is>
          <t>M5</t>
        </is>
      </c>
      <c r="AG4" s="266" t="inlineStr">
        <is>
          <t>M6</t>
        </is>
      </c>
      <c r="AH4" s="266" t="inlineStr">
        <is>
          <t>M7</t>
        </is>
      </c>
      <c r="AI4" s="266" t="inlineStr">
        <is>
          <t>M8</t>
        </is>
      </c>
      <c r="AJ4" s="266" t="inlineStr">
        <is>
          <t>M9</t>
        </is>
      </c>
      <c r="AK4" s="266" t="inlineStr">
        <is>
          <t>M10</t>
        </is>
      </c>
      <c r="AL4" s="266" t="inlineStr">
        <is>
          <t>M11</t>
        </is>
      </c>
      <c r="AM4" s="266" t="inlineStr">
        <is>
          <t>M12</t>
        </is>
      </c>
      <c r="AN4" s="266" t="inlineStr">
        <is>
          <t>Yr 3 Total</t>
        </is>
      </c>
      <c r="AO4" s="266" t="inlineStr">
        <is>
          <t>M1</t>
        </is>
      </c>
      <c r="AP4" s="266" t="inlineStr">
        <is>
          <t>M2</t>
        </is>
      </c>
      <c r="AQ4" s="266" t="inlineStr">
        <is>
          <t>M3</t>
        </is>
      </c>
      <c r="AR4" s="266" t="inlineStr">
        <is>
          <t>M4</t>
        </is>
      </c>
      <c r="AS4" s="266" t="inlineStr">
        <is>
          <t>M5</t>
        </is>
      </c>
      <c r="AT4" s="266" t="inlineStr">
        <is>
          <t>M6</t>
        </is>
      </c>
      <c r="AU4" s="266" t="inlineStr">
        <is>
          <t>M7</t>
        </is>
      </c>
      <c r="AV4" s="266" t="inlineStr">
        <is>
          <t>M8</t>
        </is>
      </c>
      <c r="AW4" s="266" t="inlineStr">
        <is>
          <t>M9</t>
        </is>
      </c>
      <c r="AX4" s="266" t="inlineStr">
        <is>
          <t>M10</t>
        </is>
      </c>
      <c r="AY4" s="266" t="inlineStr">
        <is>
          <t>M11</t>
        </is>
      </c>
      <c r="AZ4" s="266" t="inlineStr">
        <is>
          <t>M12</t>
        </is>
      </c>
      <c r="BA4" s="266" t="inlineStr">
        <is>
          <t>Yr 4 Total</t>
        </is>
      </c>
      <c r="BB4" s="266" t="inlineStr">
        <is>
          <t>M1</t>
        </is>
      </c>
      <c r="BC4" s="266" t="inlineStr">
        <is>
          <t>M2</t>
        </is>
      </c>
      <c r="BD4" s="266" t="inlineStr">
        <is>
          <t>M3</t>
        </is>
      </c>
      <c r="BE4" s="266" t="inlineStr">
        <is>
          <t>M4</t>
        </is>
      </c>
      <c r="BF4" s="266" t="inlineStr">
        <is>
          <t>M5</t>
        </is>
      </c>
      <c r="BG4" s="266" t="inlineStr">
        <is>
          <t>M6</t>
        </is>
      </c>
      <c r="BH4" s="266" t="inlineStr">
        <is>
          <t>M7</t>
        </is>
      </c>
      <c r="BI4" s="266" t="inlineStr">
        <is>
          <t>M8</t>
        </is>
      </c>
      <c r="BJ4" s="266" t="inlineStr">
        <is>
          <t>M9</t>
        </is>
      </c>
      <c r="BK4" s="266" t="inlineStr">
        <is>
          <t>M10</t>
        </is>
      </c>
      <c r="BL4" s="266" t="inlineStr">
        <is>
          <t>M11</t>
        </is>
      </c>
      <c r="BM4" s="266" t="inlineStr">
        <is>
          <t>M12</t>
        </is>
      </c>
      <c r="BN4" s="266" t="inlineStr">
        <is>
          <t>Yr 5 Total</t>
        </is>
      </c>
    </row>
    <row r="5">
      <c r="A5" s="267" t="inlineStr">
        <is>
          <t>Growth index (Yr 1 = 100%)</t>
        </is>
      </c>
      <c r="B5" s="268">
        <f>Assumptions!$C$18</f>
        <v/>
      </c>
      <c r="C5" s="268">
        <f>Assumptions!$C$18</f>
        <v/>
      </c>
      <c r="D5" s="268">
        <f>Assumptions!$C$18</f>
        <v/>
      </c>
      <c r="E5" s="268">
        <f>Assumptions!$C$18</f>
        <v/>
      </c>
      <c r="F5" s="268">
        <f>Assumptions!$C$18</f>
        <v/>
      </c>
      <c r="G5" s="268">
        <f>Assumptions!$C$18</f>
        <v/>
      </c>
      <c r="H5" s="268">
        <f>Assumptions!$C$18</f>
        <v/>
      </c>
      <c r="I5" s="268">
        <f>Assumptions!$C$18</f>
        <v/>
      </c>
      <c r="J5" s="268">
        <f>Assumptions!$C$18</f>
        <v/>
      </c>
      <c r="K5" s="268">
        <f>Assumptions!$C$18</f>
        <v/>
      </c>
      <c r="L5" s="268">
        <f>Assumptions!$C$18</f>
        <v/>
      </c>
      <c r="M5" s="268">
        <f>Assumptions!$C$18</f>
        <v/>
      </c>
      <c r="N5" s="268">
        <f>B5</f>
        <v/>
      </c>
      <c r="O5" s="268">
        <f>Assumptions!$D$18</f>
        <v/>
      </c>
      <c r="P5" s="268">
        <f>Assumptions!$D$18</f>
        <v/>
      </c>
      <c r="Q5" s="268">
        <f>Assumptions!$D$18</f>
        <v/>
      </c>
      <c r="R5" s="268">
        <f>Assumptions!$D$18</f>
        <v/>
      </c>
      <c r="S5" s="268">
        <f>Assumptions!$D$18</f>
        <v/>
      </c>
      <c r="T5" s="268">
        <f>Assumptions!$D$18</f>
        <v/>
      </c>
      <c r="U5" s="268">
        <f>Assumptions!$D$18</f>
        <v/>
      </c>
      <c r="V5" s="268">
        <f>Assumptions!$D$18</f>
        <v/>
      </c>
      <c r="W5" s="268">
        <f>Assumptions!$D$18</f>
        <v/>
      </c>
      <c r="X5" s="268">
        <f>Assumptions!$D$18</f>
        <v/>
      </c>
      <c r="Y5" s="268">
        <f>Assumptions!$D$18</f>
        <v/>
      </c>
      <c r="Z5" s="268">
        <f>Assumptions!$D$18</f>
        <v/>
      </c>
      <c r="AA5" s="268">
        <f>O5</f>
        <v/>
      </c>
      <c r="AB5" s="268">
        <f>Assumptions!$E$18</f>
        <v/>
      </c>
      <c r="AC5" s="268">
        <f>Assumptions!$E$18</f>
        <v/>
      </c>
      <c r="AD5" s="268">
        <f>Assumptions!$E$18</f>
        <v/>
      </c>
      <c r="AE5" s="268">
        <f>Assumptions!$E$18</f>
        <v/>
      </c>
      <c r="AF5" s="268">
        <f>Assumptions!$E$18</f>
        <v/>
      </c>
      <c r="AG5" s="268">
        <f>Assumptions!$E$18</f>
        <v/>
      </c>
      <c r="AH5" s="268">
        <f>Assumptions!$E$18</f>
        <v/>
      </c>
      <c r="AI5" s="268">
        <f>Assumptions!$E$18</f>
        <v/>
      </c>
      <c r="AJ5" s="268">
        <f>Assumptions!$E$18</f>
        <v/>
      </c>
      <c r="AK5" s="268">
        <f>Assumptions!$E$18</f>
        <v/>
      </c>
      <c r="AL5" s="268">
        <f>Assumptions!$E$18</f>
        <v/>
      </c>
      <c r="AM5" s="268">
        <f>Assumptions!$E$18</f>
        <v/>
      </c>
      <c r="AN5" s="268">
        <f>AB5</f>
        <v/>
      </c>
      <c r="AO5" s="268">
        <f>Assumptions!$F$18</f>
        <v/>
      </c>
      <c r="AP5" s="268">
        <f>Assumptions!$F$18</f>
        <v/>
      </c>
      <c r="AQ5" s="268">
        <f>Assumptions!$F$18</f>
        <v/>
      </c>
      <c r="AR5" s="268">
        <f>Assumptions!$F$18</f>
        <v/>
      </c>
      <c r="AS5" s="268">
        <f>Assumptions!$F$18</f>
        <v/>
      </c>
      <c r="AT5" s="268">
        <f>Assumptions!$F$18</f>
        <v/>
      </c>
      <c r="AU5" s="268">
        <f>Assumptions!$F$18</f>
        <v/>
      </c>
      <c r="AV5" s="268">
        <f>Assumptions!$F$18</f>
        <v/>
      </c>
      <c r="AW5" s="268">
        <f>Assumptions!$F$18</f>
        <v/>
      </c>
      <c r="AX5" s="268">
        <f>Assumptions!$F$18</f>
        <v/>
      </c>
      <c r="AY5" s="268">
        <f>Assumptions!$F$18</f>
        <v/>
      </c>
      <c r="AZ5" s="268">
        <f>Assumptions!$F$18</f>
        <v/>
      </c>
      <c r="BA5" s="268">
        <f>AO5</f>
        <v/>
      </c>
      <c r="BB5" s="268">
        <f>Assumptions!$G$18</f>
        <v/>
      </c>
      <c r="BC5" s="268">
        <f>Assumptions!$G$18</f>
        <v/>
      </c>
      <c r="BD5" s="268">
        <f>Assumptions!$G$18</f>
        <v/>
      </c>
      <c r="BE5" s="268">
        <f>Assumptions!$G$18</f>
        <v/>
      </c>
      <c r="BF5" s="268">
        <f>Assumptions!$G$18</f>
        <v/>
      </c>
      <c r="BG5" s="268">
        <f>Assumptions!$G$18</f>
        <v/>
      </c>
      <c r="BH5" s="268">
        <f>Assumptions!$G$18</f>
        <v/>
      </c>
      <c r="BI5" s="268">
        <f>Assumptions!$G$18</f>
        <v/>
      </c>
      <c r="BJ5" s="268">
        <f>Assumptions!$G$18</f>
        <v/>
      </c>
      <c r="BK5" s="268">
        <f>Assumptions!$G$18</f>
        <v/>
      </c>
      <c r="BL5" s="268">
        <f>Assumptions!$G$18</f>
        <v/>
      </c>
      <c r="BM5" s="268">
        <f>Assumptions!$G$18</f>
        <v/>
      </c>
      <c r="BN5" s="268">
        <f>BB5</f>
        <v/>
      </c>
    </row>
    <row r="6">
      <c r="A6" s="267" t="inlineStr">
        <is>
          <t>Room-nights sold (units)</t>
        </is>
      </c>
      <c r="B6" s="269">
        <f>(Assumptions!$C$16*Assumptions!$C$18/12)*IF(SUM(Assumptions!$C$21:$N$21)=0,1,12*Assumptions!C$21/SUM(Assumptions!$C$21:$N$21))</f>
        <v/>
      </c>
      <c r="C6" s="269">
        <f>(Assumptions!$C$16*Assumptions!$C$18/12)*IF(SUM(Assumptions!$C$21:$N$21)=0,1,12*Assumptions!D$21/SUM(Assumptions!$C$21:$N$21))</f>
        <v/>
      </c>
      <c r="D6" s="269">
        <f>(Assumptions!$C$16*Assumptions!$C$18/12)*IF(SUM(Assumptions!$C$21:$N$21)=0,1,12*Assumptions!E$21/SUM(Assumptions!$C$21:$N$21))</f>
        <v/>
      </c>
      <c r="E6" s="269">
        <f>(Assumptions!$C$16*Assumptions!$C$18/12)*IF(SUM(Assumptions!$C$21:$N$21)=0,1,12*Assumptions!F$21/SUM(Assumptions!$C$21:$N$21))</f>
        <v/>
      </c>
      <c r="F6" s="269">
        <f>(Assumptions!$C$16*Assumptions!$C$18/12)*IF(SUM(Assumptions!$C$21:$N$21)=0,1,12*Assumptions!G$21/SUM(Assumptions!$C$21:$N$21))</f>
        <v/>
      </c>
      <c r="G6" s="269">
        <f>(Assumptions!$C$16*Assumptions!$C$18/12)*IF(SUM(Assumptions!$C$21:$N$21)=0,1,12*Assumptions!H$21/SUM(Assumptions!$C$21:$N$21))</f>
        <v/>
      </c>
      <c r="H6" s="269">
        <f>(Assumptions!$C$16*Assumptions!$C$18/12)*IF(SUM(Assumptions!$C$21:$N$21)=0,1,12*Assumptions!I$21/SUM(Assumptions!$C$21:$N$21))</f>
        <v/>
      </c>
      <c r="I6" s="269">
        <f>(Assumptions!$C$16*Assumptions!$C$18/12)*IF(SUM(Assumptions!$C$21:$N$21)=0,1,12*Assumptions!J$21/SUM(Assumptions!$C$21:$N$21))</f>
        <v/>
      </c>
      <c r="J6" s="269">
        <f>(Assumptions!$C$16*Assumptions!$C$18/12)*IF(SUM(Assumptions!$C$21:$N$21)=0,1,12*Assumptions!K$21/SUM(Assumptions!$C$21:$N$21))</f>
        <v/>
      </c>
      <c r="K6" s="269">
        <f>(Assumptions!$C$16*Assumptions!$C$18/12)*IF(SUM(Assumptions!$C$21:$N$21)=0,1,12*Assumptions!L$21/SUM(Assumptions!$C$21:$N$21))</f>
        <v/>
      </c>
      <c r="L6" s="269">
        <f>(Assumptions!$C$16*Assumptions!$C$18/12)*IF(SUM(Assumptions!$C$21:$N$21)=0,1,12*Assumptions!M$21/SUM(Assumptions!$C$21:$N$21))</f>
        <v/>
      </c>
      <c r="M6" s="269">
        <f>(Assumptions!$C$16*Assumptions!$C$18/12)*IF(SUM(Assumptions!$C$21:$N$21)=0,1,12*Assumptions!N$21/SUM(Assumptions!$C$21:$N$21))</f>
        <v/>
      </c>
      <c r="N6" s="269">
        <f>SUM(B6:M6)</f>
        <v/>
      </c>
      <c r="O6" s="269">
        <f>(Assumptions!$C$16*Assumptions!$D$18/12)*IF(SUM(Assumptions!$C$21:$N$21)=0,1,12*Assumptions!C$21/SUM(Assumptions!$C$21:$N$21))</f>
        <v/>
      </c>
      <c r="P6" s="269">
        <f>(Assumptions!$C$16*Assumptions!$D$18/12)*IF(SUM(Assumptions!$C$21:$N$21)=0,1,12*Assumptions!D$21/SUM(Assumptions!$C$21:$N$21))</f>
        <v/>
      </c>
      <c r="Q6" s="269">
        <f>(Assumptions!$C$16*Assumptions!$D$18/12)*IF(SUM(Assumptions!$C$21:$N$21)=0,1,12*Assumptions!E$21/SUM(Assumptions!$C$21:$N$21))</f>
        <v/>
      </c>
      <c r="R6" s="269">
        <f>(Assumptions!$C$16*Assumptions!$D$18/12)*IF(SUM(Assumptions!$C$21:$N$21)=0,1,12*Assumptions!F$21/SUM(Assumptions!$C$21:$N$21))</f>
        <v/>
      </c>
      <c r="S6" s="269">
        <f>(Assumptions!$C$16*Assumptions!$D$18/12)*IF(SUM(Assumptions!$C$21:$N$21)=0,1,12*Assumptions!G$21/SUM(Assumptions!$C$21:$N$21))</f>
        <v/>
      </c>
      <c r="T6" s="269">
        <f>(Assumptions!$C$16*Assumptions!$D$18/12)*IF(SUM(Assumptions!$C$21:$N$21)=0,1,12*Assumptions!H$21/SUM(Assumptions!$C$21:$N$21))</f>
        <v/>
      </c>
      <c r="U6" s="269">
        <f>(Assumptions!$C$16*Assumptions!$D$18/12)*IF(SUM(Assumptions!$C$21:$N$21)=0,1,12*Assumptions!I$21/SUM(Assumptions!$C$21:$N$21))</f>
        <v/>
      </c>
      <c r="V6" s="269">
        <f>(Assumptions!$C$16*Assumptions!$D$18/12)*IF(SUM(Assumptions!$C$21:$N$21)=0,1,12*Assumptions!J$21/SUM(Assumptions!$C$21:$N$21))</f>
        <v/>
      </c>
      <c r="W6" s="269">
        <f>(Assumptions!$C$16*Assumptions!$D$18/12)*IF(SUM(Assumptions!$C$21:$N$21)=0,1,12*Assumptions!K$21/SUM(Assumptions!$C$21:$N$21))</f>
        <v/>
      </c>
      <c r="X6" s="269">
        <f>(Assumptions!$C$16*Assumptions!$D$18/12)*IF(SUM(Assumptions!$C$21:$N$21)=0,1,12*Assumptions!L$21/SUM(Assumptions!$C$21:$N$21))</f>
        <v/>
      </c>
      <c r="Y6" s="269">
        <f>(Assumptions!$C$16*Assumptions!$D$18/12)*IF(SUM(Assumptions!$C$21:$N$21)=0,1,12*Assumptions!M$21/SUM(Assumptions!$C$21:$N$21))</f>
        <v/>
      </c>
      <c r="Z6" s="269">
        <f>(Assumptions!$C$16*Assumptions!$D$18/12)*IF(SUM(Assumptions!$C$21:$N$21)=0,1,12*Assumptions!N$21/SUM(Assumptions!$C$21:$N$21))</f>
        <v/>
      </c>
      <c r="AA6" s="269">
        <f>SUM(O6:Z6)</f>
        <v/>
      </c>
      <c r="AB6" s="269">
        <f>(Assumptions!$C$16*Assumptions!$E$18/12)*IF(SUM(Assumptions!$C$21:$N$21)=0,1,12*Assumptions!C$21/SUM(Assumptions!$C$21:$N$21))</f>
        <v/>
      </c>
      <c r="AC6" s="269">
        <f>(Assumptions!$C$16*Assumptions!$E$18/12)*IF(SUM(Assumptions!$C$21:$N$21)=0,1,12*Assumptions!D$21/SUM(Assumptions!$C$21:$N$21))</f>
        <v/>
      </c>
      <c r="AD6" s="269">
        <f>(Assumptions!$C$16*Assumptions!$E$18/12)*IF(SUM(Assumptions!$C$21:$N$21)=0,1,12*Assumptions!E$21/SUM(Assumptions!$C$21:$N$21))</f>
        <v/>
      </c>
      <c r="AE6" s="269">
        <f>(Assumptions!$C$16*Assumptions!$E$18/12)*IF(SUM(Assumptions!$C$21:$N$21)=0,1,12*Assumptions!F$21/SUM(Assumptions!$C$21:$N$21))</f>
        <v/>
      </c>
      <c r="AF6" s="269">
        <f>(Assumptions!$C$16*Assumptions!$E$18/12)*IF(SUM(Assumptions!$C$21:$N$21)=0,1,12*Assumptions!G$21/SUM(Assumptions!$C$21:$N$21))</f>
        <v/>
      </c>
      <c r="AG6" s="269">
        <f>(Assumptions!$C$16*Assumptions!$E$18/12)*IF(SUM(Assumptions!$C$21:$N$21)=0,1,12*Assumptions!H$21/SUM(Assumptions!$C$21:$N$21))</f>
        <v/>
      </c>
      <c r="AH6" s="269">
        <f>(Assumptions!$C$16*Assumptions!$E$18/12)*IF(SUM(Assumptions!$C$21:$N$21)=0,1,12*Assumptions!I$21/SUM(Assumptions!$C$21:$N$21))</f>
        <v/>
      </c>
      <c r="AI6" s="269">
        <f>(Assumptions!$C$16*Assumptions!$E$18/12)*IF(SUM(Assumptions!$C$21:$N$21)=0,1,12*Assumptions!J$21/SUM(Assumptions!$C$21:$N$21))</f>
        <v/>
      </c>
      <c r="AJ6" s="269">
        <f>(Assumptions!$C$16*Assumptions!$E$18/12)*IF(SUM(Assumptions!$C$21:$N$21)=0,1,12*Assumptions!K$21/SUM(Assumptions!$C$21:$N$21))</f>
        <v/>
      </c>
      <c r="AK6" s="269">
        <f>(Assumptions!$C$16*Assumptions!$E$18/12)*IF(SUM(Assumptions!$C$21:$N$21)=0,1,12*Assumptions!L$21/SUM(Assumptions!$C$21:$N$21))</f>
        <v/>
      </c>
      <c r="AL6" s="269">
        <f>(Assumptions!$C$16*Assumptions!$E$18/12)*IF(SUM(Assumptions!$C$21:$N$21)=0,1,12*Assumptions!M$21/SUM(Assumptions!$C$21:$N$21))</f>
        <v/>
      </c>
      <c r="AM6" s="269">
        <f>(Assumptions!$C$16*Assumptions!$E$18/12)*IF(SUM(Assumptions!$C$21:$N$21)=0,1,12*Assumptions!N$21/SUM(Assumptions!$C$21:$N$21))</f>
        <v/>
      </c>
      <c r="AN6" s="269">
        <f>SUM(AB6:AM6)</f>
        <v/>
      </c>
      <c r="AO6" s="269">
        <f>(Assumptions!$C$16*Assumptions!$F$18/12)*IF(SUM(Assumptions!$C$21:$N$21)=0,1,12*Assumptions!C$21/SUM(Assumptions!$C$21:$N$21))</f>
        <v/>
      </c>
      <c r="AP6" s="269">
        <f>(Assumptions!$C$16*Assumptions!$F$18/12)*IF(SUM(Assumptions!$C$21:$N$21)=0,1,12*Assumptions!D$21/SUM(Assumptions!$C$21:$N$21))</f>
        <v/>
      </c>
      <c r="AQ6" s="269">
        <f>(Assumptions!$C$16*Assumptions!$F$18/12)*IF(SUM(Assumptions!$C$21:$N$21)=0,1,12*Assumptions!E$21/SUM(Assumptions!$C$21:$N$21))</f>
        <v/>
      </c>
      <c r="AR6" s="269">
        <f>(Assumptions!$C$16*Assumptions!$F$18/12)*IF(SUM(Assumptions!$C$21:$N$21)=0,1,12*Assumptions!F$21/SUM(Assumptions!$C$21:$N$21))</f>
        <v/>
      </c>
      <c r="AS6" s="269">
        <f>(Assumptions!$C$16*Assumptions!$F$18/12)*IF(SUM(Assumptions!$C$21:$N$21)=0,1,12*Assumptions!G$21/SUM(Assumptions!$C$21:$N$21))</f>
        <v/>
      </c>
      <c r="AT6" s="269">
        <f>(Assumptions!$C$16*Assumptions!$F$18/12)*IF(SUM(Assumptions!$C$21:$N$21)=0,1,12*Assumptions!H$21/SUM(Assumptions!$C$21:$N$21))</f>
        <v/>
      </c>
      <c r="AU6" s="269">
        <f>(Assumptions!$C$16*Assumptions!$F$18/12)*IF(SUM(Assumptions!$C$21:$N$21)=0,1,12*Assumptions!I$21/SUM(Assumptions!$C$21:$N$21))</f>
        <v/>
      </c>
      <c r="AV6" s="269">
        <f>(Assumptions!$C$16*Assumptions!$F$18/12)*IF(SUM(Assumptions!$C$21:$N$21)=0,1,12*Assumptions!J$21/SUM(Assumptions!$C$21:$N$21))</f>
        <v/>
      </c>
      <c r="AW6" s="269">
        <f>(Assumptions!$C$16*Assumptions!$F$18/12)*IF(SUM(Assumptions!$C$21:$N$21)=0,1,12*Assumptions!K$21/SUM(Assumptions!$C$21:$N$21))</f>
        <v/>
      </c>
      <c r="AX6" s="269">
        <f>(Assumptions!$C$16*Assumptions!$F$18/12)*IF(SUM(Assumptions!$C$21:$N$21)=0,1,12*Assumptions!L$21/SUM(Assumptions!$C$21:$N$21))</f>
        <v/>
      </c>
      <c r="AY6" s="269">
        <f>(Assumptions!$C$16*Assumptions!$F$18/12)*IF(SUM(Assumptions!$C$21:$N$21)=0,1,12*Assumptions!M$21/SUM(Assumptions!$C$21:$N$21))</f>
        <v/>
      </c>
      <c r="AZ6" s="269">
        <f>(Assumptions!$C$16*Assumptions!$F$18/12)*IF(SUM(Assumptions!$C$21:$N$21)=0,1,12*Assumptions!N$21/SUM(Assumptions!$C$21:$N$21))</f>
        <v/>
      </c>
      <c r="BA6" s="269">
        <f>SUM(AO6:AZ6)</f>
        <v/>
      </c>
      <c r="BB6" s="269">
        <f>(Assumptions!$C$16*Assumptions!$G$18/12)*IF(SUM(Assumptions!$C$21:$N$21)=0,1,12*Assumptions!C$21/SUM(Assumptions!$C$21:$N$21))</f>
        <v/>
      </c>
      <c r="BC6" s="269">
        <f>(Assumptions!$C$16*Assumptions!$G$18/12)*IF(SUM(Assumptions!$C$21:$N$21)=0,1,12*Assumptions!D$21/SUM(Assumptions!$C$21:$N$21))</f>
        <v/>
      </c>
      <c r="BD6" s="269">
        <f>(Assumptions!$C$16*Assumptions!$G$18/12)*IF(SUM(Assumptions!$C$21:$N$21)=0,1,12*Assumptions!E$21/SUM(Assumptions!$C$21:$N$21))</f>
        <v/>
      </c>
      <c r="BE6" s="269">
        <f>(Assumptions!$C$16*Assumptions!$G$18/12)*IF(SUM(Assumptions!$C$21:$N$21)=0,1,12*Assumptions!F$21/SUM(Assumptions!$C$21:$N$21))</f>
        <v/>
      </c>
      <c r="BF6" s="269">
        <f>(Assumptions!$C$16*Assumptions!$G$18/12)*IF(SUM(Assumptions!$C$21:$N$21)=0,1,12*Assumptions!G$21/SUM(Assumptions!$C$21:$N$21))</f>
        <v/>
      </c>
      <c r="BG6" s="269">
        <f>(Assumptions!$C$16*Assumptions!$G$18/12)*IF(SUM(Assumptions!$C$21:$N$21)=0,1,12*Assumptions!H$21/SUM(Assumptions!$C$21:$N$21))</f>
        <v/>
      </c>
      <c r="BH6" s="269">
        <f>(Assumptions!$C$16*Assumptions!$G$18/12)*IF(SUM(Assumptions!$C$21:$N$21)=0,1,12*Assumptions!I$21/SUM(Assumptions!$C$21:$N$21))</f>
        <v/>
      </c>
      <c r="BI6" s="269">
        <f>(Assumptions!$C$16*Assumptions!$G$18/12)*IF(SUM(Assumptions!$C$21:$N$21)=0,1,12*Assumptions!J$21/SUM(Assumptions!$C$21:$N$21))</f>
        <v/>
      </c>
      <c r="BJ6" s="269">
        <f>(Assumptions!$C$16*Assumptions!$G$18/12)*IF(SUM(Assumptions!$C$21:$N$21)=0,1,12*Assumptions!K$21/SUM(Assumptions!$C$21:$N$21))</f>
        <v/>
      </c>
      <c r="BK6" s="269">
        <f>(Assumptions!$C$16*Assumptions!$G$18/12)*IF(SUM(Assumptions!$C$21:$N$21)=0,1,12*Assumptions!L$21/SUM(Assumptions!$C$21:$N$21))</f>
        <v/>
      </c>
      <c r="BL6" s="269">
        <f>(Assumptions!$C$16*Assumptions!$G$18/12)*IF(SUM(Assumptions!$C$21:$N$21)=0,1,12*Assumptions!M$21/SUM(Assumptions!$C$21:$N$21))</f>
        <v/>
      </c>
      <c r="BM6" s="269">
        <f>(Assumptions!$C$16*Assumptions!$G$18/12)*IF(SUM(Assumptions!$C$21:$N$21)=0,1,12*Assumptions!N$21/SUM(Assumptions!$C$21:$N$21))</f>
        <v/>
      </c>
      <c r="BN6" s="269">
        <f>SUM(BB6:BM6)</f>
        <v/>
      </c>
    </row>
    <row r="7">
      <c r="A7" s="267" t="inlineStr">
        <is>
          <t>Average room tariff (ARR) (₹ / unit)</t>
        </is>
      </c>
      <c r="B7" s="270">
        <f>Assumptions!$C$23*(1+Assumptions!$C$24)^0</f>
        <v/>
      </c>
      <c r="C7" s="270">
        <f>Assumptions!$C$23*(1+Assumptions!$C$24)^0</f>
        <v/>
      </c>
      <c r="D7" s="270">
        <f>Assumptions!$C$23*(1+Assumptions!$C$24)^0</f>
        <v/>
      </c>
      <c r="E7" s="270">
        <f>Assumptions!$C$23*(1+Assumptions!$C$24)^0</f>
        <v/>
      </c>
      <c r="F7" s="270">
        <f>Assumptions!$C$23*(1+Assumptions!$C$24)^0</f>
        <v/>
      </c>
      <c r="G7" s="270">
        <f>Assumptions!$C$23*(1+Assumptions!$C$24)^0</f>
        <v/>
      </c>
      <c r="H7" s="270">
        <f>Assumptions!$C$23*(1+Assumptions!$C$24)^0</f>
        <v/>
      </c>
      <c r="I7" s="270">
        <f>Assumptions!$C$23*(1+Assumptions!$C$24)^0</f>
        <v/>
      </c>
      <c r="J7" s="270">
        <f>Assumptions!$C$23*(1+Assumptions!$C$24)^0</f>
        <v/>
      </c>
      <c r="K7" s="270">
        <f>Assumptions!$C$23*(1+Assumptions!$C$24)^0</f>
        <v/>
      </c>
      <c r="L7" s="270">
        <f>Assumptions!$C$23*(1+Assumptions!$C$24)^0</f>
        <v/>
      </c>
      <c r="M7" s="270">
        <f>Assumptions!$C$23*(1+Assumptions!$C$24)^0</f>
        <v/>
      </c>
      <c r="N7" s="270">
        <f>B7</f>
        <v/>
      </c>
      <c r="O7" s="270">
        <f>Assumptions!$C$23*(1+Assumptions!$C$24)^1</f>
        <v/>
      </c>
      <c r="P7" s="270">
        <f>Assumptions!$C$23*(1+Assumptions!$C$24)^1</f>
        <v/>
      </c>
      <c r="Q7" s="270">
        <f>Assumptions!$C$23*(1+Assumptions!$C$24)^1</f>
        <v/>
      </c>
      <c r="R7" s="270">
        <f>Assumptions!$C$23*(1+Assumptions!$C$24)^1</f>
        <v/>
      </c>
      <c r="S7" s="270">
        <f>Assumptions!$C$23*(1+Assumptions!$C$24)^1</f>
        <v/>
      </c>
      <c r="T7" s="270">
        <f>Assumptions!$C$23*(1+Assumptions!$C$24)^1</f>
        <v/>
      </c>
      <c r="U7" s="270">
        <f>Assumptions!$C$23*(1+Assumptions!$C$24)^1</f>
        <v/>
      </c>
      <c r="V7" s="270">
        <f>Assumptions!$C$23*(1+Assumptions!$C$24)^1</f>
        <v/>
      </c>
      <c r="W7" s="270">
        <f>Assumptions!$C$23*(1+Assumptions!$C$24)^1</f>
        <v/>
      </c>
      <c r="X7" s="270">
        <f>Assumptions!$C$23*(1+Assumptions!$C$24)^1</f>
        <v/>
      </c>
      <c r="Y7" s="270">
        <f>Assumptions!$C$23*(1+Assumptions!$C$24)^1</f>
        <v/>
      </c>
      <c r="Z7" s="270">
        <f>Assumptions!$C$23*(1+Assumptions!$C$24)^1</f>
        <v/>
      </c>
      <c r="AA7" s="270">
        <f>O7</f>
        <v/>
      </c>
      <c r="AB7" s="270">
        <f>Assumptions!$C$23*(1+Assumptions!$C$24)^2</f>
        <v/>
      </c>
      <c r="AC7" s="270">
        <f>Assumptions!$C$23*(1+Assumptions!$C$24)^2</f>
        <v/>
      </c>
      <c r="AD7" s="270">
        <f>Assumptions!$C$23*(1+Assumptions!$C$24)^2</f>
        <v/>
      </c>
      <c r="AE7" s="270">
        <f>Assumptions!$C$23*(1+Assumptions!$C$24)^2</f>
        <v/>
      </c>
      <c r="AF7" s="270">
        <f>Assumptions!$C$23*(1+Assumptions!$C$24)^2</f>
        <v/>
      </c>
      <c r="AG7" s="270">
        <f>Assumptions!$C$23*(1+Assumptions!$C$24)^2</f>
        <v/>
      </c>
      <c r="AH7" s="270">
        <f>Assumptions!$C$23*(1+Assumptions!$C$24)^2</f>
        <v/>
      </c>
      <c r="AI7" s="270">
        <f>Assumptions!$C$23*(1+Assumptions!$C$24)^2</f>
        <v/>
      </c>
      <c r="AJ7" s="270">
        <f>Assumptions!$C$23*(1+Assumptions!$C$24)^2</f>
        <v/>
      </c>
      <c r="AK7" s="270">
        <f>Assumptions!$C$23*(1+Assumptions!$C$24)^2</f>
        <v/>
      </c>
      <c r="AL7" s="270">
        <f>Assumptions!$C$23*(1+Assumptions!$C$24)^2</f>
        <v/>
      </c>
      <c r="AM7" s="270">
        <f>Assumptions!$C$23*(1+Assumptions!$C$24)^2</f>
        <v/>
      </c>
      <c r="AN7" s="270">
        <f>AB7</f>
        <v/>
      </c>
      <c r="AO7" s="270">
        <f>Assumptions!$C$23*(1+Assumptions!$C$24)^3</f>
        <v/>
      </c>
      <c r="AP7" s="270">
        <f>Assumptions!$C$23*(1+Assumptions!$C$24)^3</f>
        <v/>
      </c>
      <c r="AQ7" s="270">
        <f>Assumptions!$C$23*(1+Assumptions!$C$24)^3</f>
        <v/>
      </c>
      <c r="AR7" s="270">
        <f>Assumptions!$C$23*(1+Assumptions!$C$24)^3</f>
        <v/>
      </c>
      <c r="AS7" s="270">
        <f>Assumptions!$C$23*(1+Assumptions!$C$24)^3</f>
        <v/>
      </c>
      <c r="AT7" s="270">
        <f>Assumptions!$C$23*(1+Assumptions!$C$24)^3</f>
        <v/>
      </c>
      <c r="AU7" s="270">
        <f>Assumptions!$C$23*(1+Assumptions!$C$24)^3</f>
        <v/>
      </c>
      <c r="AV7" s="270">
        <f>Assumptions!$C$23*(1+Assumptions!$C$24)^3</f>
        <v/>
      </c>
      <c r="AW7" s="270">
        <f>Assumptions!$C$23*(1+Assumptions!$C$24)^3</f>
        <v/>
      </c>
      <c r="AX7" s="270">
        <f>Assumptions!$C$23*(1+Assumptions!$C$24)^3</f>
        <v/>
      </c>
      <c r="AY7" s="270">
        <f>Assumptions!$C$23*(1+Assumptions!$C$24)^3</f>
        <v/>
      </c>
      <c r="AZ7" s="270">
        <f>Assumptions!$C$23*(1+Assumptions!$C$24)^3</f>
        <v/>
      </c>
      <c r="BA7" s="270">
        <f>AO7</f>
        <v/>
      </c>
      <c r="BB7" s="270">
        <f>Assumptions!$C$23*(1+Assumptions!$C$24)^4</f>
        <v/>
      </c>
      <c r="BC7" s="270">
        <f>Assumptions!$C$23*(1+Assumptions!$C$24)^4</f>
        <v/>
      </c>
      <c r="BD7" s="270">
        <f>Assumptions!$C$23*(1+Assumptions!$C$24)^4</f>
        <v/>
      </c>
      <c r="BE7" s="270">
        <f>Assumptions!$C$23*(1+Assumptions!$C$24)^4</f>
        <v/>
      </c>
      <c r="BF7" s="270">
        <f>Assumptions!$C$23*(1+Assumptions!$C$24)^4</f>
        <v/>
      </c>
      <c r="BG7" s="270">
        <f>Assumptions!$C$23*(1+Assumptions!$C$24)^4</f>
        <v/>
      </c>
      <c r="BH7" s="270">
        <f>Assumptions!$C$23*(1+Assumptions!$C$24)^4</f>
        <v/>
      </c>
      <c r="BI7" s="270">
        <f>Assumptions!$C$23*(1+Assumptions!$C$24)^4</f>
        <v/>
      </c>
      <c r="BJ7" s="270">
        <f>Assumptions!$C$23*(1+Assumptions!$C$24)^4</f>
        <v/>
      </c>
      <c r="BK7" s="270">
        <f>Assumptions!$C$23*(1+Assumptions!$C$24)^4</f>
        <v/>
      </c>
      <c r="BL7" s="270">
        <f>Assumptions!$C$23*(1+Assumptions!$C$24)^4</f>
        <v/>
      </c>
      <c r="BM7" s="270">
        <f>Assumptions!$C$23*(1+Assumptions!$C$24)^4</f>
        <v/>
      </c>
      <c r="BN7" s="270">
        <f>BB7</f>
        <v/>
      </c>
    </row>
    <row r="8">
      <c r="A8" s="271" t="inlineStr">
        <is>
          <t>Room-nights revenue</t>
        </is>
      </c>
      <c r="B8" s="272">
        <f>B6*B7</f>
        <v/>
      </c>
      <c r="C8" s="272">
        <f>C6*C7</f>
        <v/>
      </c>
      <c r="D8" s="272">
        <f>D6*D7</f>
        <v/>
      </c>
      <c r="E8" s="272">
        <f>E6*E7</f>
        <v/>
      </c>
      <c r="F8" s="272">
        <f>F6*F7</f>
        <v/>
      </c>
      <c r="G8" s="272">
        <f>G6*G7</f>
        <v/>
      </c>
      <c r="H8" s="272">
        <f>H6*H7</f>
        <v/>
      </c>
      <c r="I8" s="272">
        <f>I6*I7</f>
        <v/>
      </c>
      <c r="J8" s="272">
        <f>J6*J7</f>
        <v/>
      </c>
      <c r="K8" s="272">
        <f>K6*K7</f>
        <v/>
      </c>
      <c r="L8" s="272">
        <f>L6*L7</f>
        <v/>
      </c>
      <c r="M8" s="272">
        <f>M6*M7</f>
        <v/>
      </c>
      <c r="N8" s="272">
        <f>SUM(B8:M8)</f>
        <v/>
      </c>
      <c r="O8" s="272">
        <f>O6*O7</f>
        <v/>
      </c>
      <c r="P8" s="272">
        <f>P6*P7</f>
        <v/>
      </c>
      <c r="Q8" s="272">
        <f>Q6*Q7</f>
        <v/>
      </c>
      <c r="R8" s="272">
        <f>R6*R7</f>
        <v/>
      </c>
      <c r="S8" s="272">
        <f>S6*S7</f>
        <v/>
      </c>
      <c r="T8" s="272">
        <f>T6*T7</f>
        <v/>
      </c>
      <c r="U8" s="272">
        <f>U6*U7</f>
        <v/>
      </c>
      <c r="V8" s="272">
        <f>V6*V7</f>
        <v/>
      </c>
      <c r="W8" s="272">
        <f>W6*W7</f>
        <v/>
      </c>
      <c r="X8" s="272">
        <f>X6*X7</f>
        <v/>
      </c>
      <c r="Y8" s="272">
        <f>Y6*Y7</f>
        <v/>
      </c>
      <c r="Z8" s="272">
        <f>Z6*Z7</f>
        <v/>
      </c>
      <c r="AA8" s="272">
        <f>SUM(O8:Z8)</f>
        <v/>
      </c>
      <c r="AB8" s="272">
        <f>AB6*AB7</f>
        <v/>
      </c>
      <c r="AC8" s="272">
        <f>AC6*AC7</f>
        <v/>
      </c>
      <c r="AD8" s="272">
        <f>AD6*AD7</f>
        <v/>
      </c>
      <c r="AE8" s="272">
        <f>AE6*AE7</f>
        <v/>
      </c>
      <c r="AF8" s="272">
        <f>AF6*AF7</f>
        <v/>
      </c>
      <c r="AG8" s="272">
        <f>AG6*AG7</f>
        <v/>
      </c>
      <c r="AH8" s="272">
        <f>AH6*AH7</f>
        <v/>
      </c>
      <c r="AI8" s="272">
        <f>AI6*AI7</f>
        <v/>
      </c>
      <c r="AJ8" s="272">
        <f>AJ6*AJ7</f>
        <v/>
      </c>
      <c r="AK8" s="272">
        <f>AK6*AK7</f>
        <v/>
      </c>
      <c r="AL8" s="272">
        <f>AL6*AL7</f>
        <v/>
      </c>
      <c r="AM8" s="272">
        <f>AM6*AM7</f>
        <v/>
      </c>
      <c r="AN8" s="272">
        <f>SUM(AB8:AM8)</f>
        <v/>
      </c>
      <c r="AO8" s="272">
        <f>AO6*AO7</f>
        <v/>
      </c>
      <c r="AP8" s="272">
        <f>AP6*AP7</f>
        <v/>
      </c>
      <c r="AQ8" s="272">
        <f>AQ6*AQ7</f>
        <v/>
      </c>
      <c r="AR8" s="272">
        <f>AR6*AR7</f>
        <v/>
      </c>
      <c r="AS8" s="272">
        <f>AS6*AS7</f>
        <v/>
      </c>
      <c r="AT8" s="272">
        <f>AT6*AT7</f>
        <v/>
      </c>
      <c r="AU8" s="272">
        <f>AU6*AU7</f>
        <v/>
      </c>
      <c r="AV8" s="272">
        <f>AV6*AV7</f>
        <v/>
      </c>
      <c r="AW8" s="272">
        <f>AW6*AW7</f>
        <v/>
      </c>
      <c r="AX8" s="272">
        <f>AX6*AX7</f>
        <v/>
      </c>
      <c r="AY8" s="272">
        <f>AY6*AY7</f>
        <v/>
      </c>
      <c r="AZ8" s="272">
        <f>AZ6*AZ7</f>
        <v/>
      </c>
      <c r="BA8" s="272">
        <f>SUM(AO8:AZ8)</f>
        <v/>
      </c>
      <c r="BB8" s="272">
        <f>BB6*BB7</f>
        <v/>
      </c>
      <c r="BC8" s="272">
        <f>BC6*BC7</f>
        <v/>
      </c>
      <c r="BD8" s="272">
        <f>BD6*BD7</f>
        <v/>
      </c>
      <c r="BE8" s="272">
        <f>BE6*BE7</f>
        <v/>
      </c>
      <c r="BF8" s="272">
        <f>BF6*BF7</f>
        <v/>
      </c>
      <c r="BG8" s="272">
        <f>BG6*BG7</f>
        <v/>
      </c>
      <c r="BH8" s="272">
        <f>BH6*BH7</f>
        <v/>
      </c>
      <c r="BI8" s="272">
        <f>BI6*BI7</f>
        <v/>
      </c>
      <c r="BJ8" s="272">
        <f>BJ6*BJ7</f>
        <v/>
      </c>
      <c r="BK8" s="272">
        <f>BK6*BK7</f>
        <v/>
      </c>
      <c r="BL8" s="272">
        <f>BL6*BL7</f>
        <v/>
      </c>
      <c r="BM8" s="272">
        <f>BM6*BM7</f>
        <v/>
      </c>
      <c r="BN8" s="272">
        <f>SUM(BB8:BM8)</f>
        <v/>
      </c>
    </row>
    <row r="10">
      <c r="A10" s="267" t="inlineStr">
        <is>
          <t>Food &amp; Beverage / Restaurant — units</t>
        </is>
      </c>
      <c r="B10" s="269">
        <f>Assumptions!$C$66*Assumptions!$C$18/12</f>
        <v/>
      </c>
      <c r="C10" s="269">
        <f>Assumptions!$C$66*Assumptions!$C$18/12</f>
        <v/>
      </c>
      <c r="D10" s="269">
        <f>Assumptions!$C$66*Assumptions!$C$18/12</f>
        <v/>
      </c>
      <c r="E10" s="269">
        <f>Assumptions!$C$66*Assumptions!$C$18/12</f>
        <v/>
      </c>
      <c r="F10" s="269">
        <f>Assumptions!$C$66*Assumptions!$C$18/12</f>
        <v/>
      </c>
      <c r="G10" s="269">
        <f>Assumptions!$C$66*Assumptions!$C$18/12</f>
        <v/>
      </c>
      <c r="H10" s="269">
        <f>Assumptions!$C$66*Assumptions!$C$18/12</f>
        <v/>
      </c>
      <c r="I10" s="269">
        <f>Assumptions!$C$66*Assumptions!$C$18/12</f>
        <v/>
      </c>
      <c r="J10" s="269">
        <f>Assumptions!$C$66*Assumptions!$C$18/12</f>
        <v/>
      </c>
      <c r="K10" s="269">
        <f>Assumptions!$C$66*Assumptions!$C$18/12</f>
        <v/>
      </c>
      <c r="L10" s="269">
        <f>Assumptions!$C$66*Assumptions!$C$18/12</f>
        <v/>
      </c>
      <c r="M10" s="269">
        <f>Assumptions!$C$66*Assumptions!$C$18/12</f>
        <v/>
      </c>
      <c r="N10" s="269">
        <f>SUM(B10:M10)</f>
        <v/>
      </c>
      <c r="O10" s="269">
        <f>Assumptions!$C$66*Assumptions!$D$18/12</f>
        <v/>
      </c>
      <c r="P10" s="269">
        <f>Assumptions!$C$66*Assumptions!$D$18/12</f>
        <v/>
      </c>
      <c r="Q10" s="269">
        <f>Assumptions!$C$66*Assumptions!$D$18/12</f>
        <v/>
      </c>
      <c r="R10" s="269">
        <f>Assumptions!$C$66*Assumptions!$D$18/12</f>
        <v/>
      </c>
      <c r="S10" s="269">
        <f>Assumptions!$C$66*Assumptions!$D$18/12</f>
        <v/>
      </c>
      <c r="T10" s="269">
        <f>Assumptions!$C$66*Assumptions!$D$18/12</f>
        <v/>
      </c>
      <c r="U10" s="269">
        <f>Assumptions!$C$66*Assumptions!$D$18/12</f>
        <v/>
      </c>
      <c r="V10" s="269">
        <f>Assumptions!$C$66*Assumptions!$D$18/12</f>
        <v/>
      </c>
      <c r="W10" s="269">
        <f>Assumptions!$C$66*Assumptions!$D$18/12</f>
        <v/>
      </c>
      <c r="X10" s="269">
        <f>Assumptions!$C$66*Assumptions!$D$18/12</f>
        <v/>
      </c>
      <c r="Y10" s="269">
        <f>Assumptions!$C$66*Assumptions!$D$18/12</f>
        <v/>
      </c>
      <c r="Z10" s="269">
        <f>Assumptions!$C$66*Assumptions!$D$18/12</f>
        <v/>
      </c>
      <c r="AA10" s="269">
        <f>SUM(O10:Z10)</f>
        <v/>
      </c>
      <c r="AB10" s="269">
        <f>Assumptions!$C$66*Assumptions!$E$18/12</f>
        <v/>
      </c>
      <c r="AC10" s="269">
        <f>Assumptions!$C$66*Assumptions!$E$18/12</f>
        <v/>
      </c>
      <c r="AD10" s="269">
        <f>Assumptions!$C$66*Assumptions!$E$18/12</f>
        <v/>
      </c>
      <c r="AE10" s="269">
        <f>Assumptions!$C$66*Assumptions!$E$18/12</f>
        <v/>
      </c>
      <c r="AF10" s="269">
        <f>Assumptions!$C$66*Assumptions!$E$18/12</f>
        <v/>
      </c>
      <c r="AG10" s="269">
        <f>Assumptions!$C$66*Assumptions!$E$18/12</f>
        <v/>
      </c>
      <c r="AH10" s="269">
        <f>Assumptions!$C$66*Assumptions!$E$18/12</f>
        <v/>
      </c>
      <c r="AI10" s="269">
        <f>Assumptions!$C$66*Assumptions!$E$18/12</f>
        <v/>
      </c>
      <c r="AJ10" s="269">
        <f>Assumptions!$C$66*Assumptions!$E$18/12</f>
        <v/>
      </c>
      <c r="AK10" s="269">
        <f>Assumptions!$C$66*Assumptions!$E$18/12</f>
        <v/>
      </c>
      <c r="AL10" s="269">
        <f>Assumptions!$C$66*Assumptions!$E$18/12</f>
        <v/>
      </c>
      <c r="AM10" s="269">
        <f>Assumptions!$C$66*Assumptions!$E$18/12</f>
        <v/>
      </c>
      <c r="AN10" s="269">
        <f>SUM(AB10:AM10)</f>
        <v/>
      </c>
      <c r="AO10" s="269">
        <f>Assumptions!$C$66*Assumptions!$F$18/12</f>
        <v/>
      </c>
      <c r="AP10" s="269">
        <f>Assumptions!$C$66*Assumptions!$F$18/12</f>
        <v/>
      </c>
      <c r="AQ10" s="269">
        <f>Assumptions!$C$66*Assumptions!$F$18/12</f>
        <v/>
      </c>
      <c r="AR10" s="269">
        <f>Assumptions!$C$66*Assumptions!$F$18/12</f>
        <v/>
      </c>
      <c r="AS10" s="269">
        <f>Assumptions!$C$66*Assumptions!$F$18/12</f>
        <v/>
      </c>
      <c r="AT10" s="269">
        <f>Assumptions!$C$66*Assumptions!$F$18/12</f>
        <v/>
      </c>
      <c r="AU10" s="269">
        <f>Assumptions!$C$66*Assumptions!$F$18/12</f>
        <v/>
      </c>
      <c r="AV10" s="269">
        <f>Assumptions!$C$66*Assumptions!$F$18/12</f>
        <v/>
      </c>
      <c r="AW10" s="269">
        <f>Assumptions!$C$66*Assumptions!$F$18/12</f>
        <v/>
      </c>
      <c r="AX10" s="269">
        <f>Assumptions!$C$66*Assumptions!$F$18/12</f>
        <v/>
      </c>
      <c r="AY10" s="269">
        <f>Assumptions!$C$66*Assumptions!$F$18/12</f>
        <v/>
      </c>
      <c r="AZ10" s="269">
        <f>Assumptions!$C$66*Assumptions!$F$18/12</f>
        <v/>
      </c>
      <c r="BA10" s="269">
        <f>SUM(AO10:AZ10)</f>
        <v/>
      </c>
      <c r="BB10" s="269">
        <f>Assumptions!$C$66*Assumptions!$G$18/12</f>
        <v/>
      </c>
      <c r="BC10" s="269">
        <f>Assumptions!$C$66*Assumptions!$G$18/12</f>
        <v/>
      </c>
      <c r="BD10" s="269">
        <f>Assumptions!$C$66*Assumptions!$G$18/12</f>
        <v/>
      </c>
      <c r="BE10" s="269">
        <f>Assumptions!$C$66*Assumptions!$G$18/12</f>
        <v/>
      </c>
      <c r="BF10" s="269">
        <f>Assumptions!$C$66*Assumptions!$G$18/12</f>
        <v/>
      </c>
      <c r="BG10" s="269">
        <f>Assumptions!$C$66*Assumptions!$G$18/12</f>
        <v/>
      </c>
      <c r="BH10" s="269">
        <f>Assumptions!$C$66*Assumptions!$G$18/12</f>
        <v/>
      </c>
      <c r="BI10" s="269">
        <f>Assumptions!$C$66*Assumptions!$G$18/12</f>
        <v/>
      </c>
      <c r="BJ10" s="269">
        <f>Assumptions!$C$66*Assumptions!$G$18/12</f>
        <v/>
      </c>
      <c r="BK10" s="269">
        <f>Assumptions!$C$66*Assumptions!$G$18/12</f>
        <v/>
      </c>
      <c r="BL10" s="269">
        <f>Assumptions!$C$66*Assumptions!$G$18/12</f>
        <v/>
      </c>
      <c r="BM10" s="269">
        <f>Assumptions!$C$66*Assumptions!$G$18/12</f>
        <v/>
      </c>
      <c r="BN10" s="269">
        <f>SUM(BB10:BM10)</f>
        <v/>
      </c>
    </row>
    <row r="11">
      <c r="A11" s="267" t="inlineStr">
        <is>
          <t>Food &amp; Beverage / Restaurant — ₹ / unit</t>
        </is>
      </c>
      <c r="B11" s="270">
        <f>Assumptions!$D$66*(1+Assumptions!$C$24)^0</f>
        <v/>
      </c>
      <c r="C11" s="270">
        <f>Assumptions!$D$66*(1+Assumptions!$C$24)^0</f>
        <v/>
      </c>
      <c r="D11" s="270">
        <f>Assumptions!$D$66*(1+Assumptions!$C$24)^0</f>
        <v/>
      </c>
      <c r="E11" s="270">
        <f>Assumptions!$D$66*(1+Assumptions!$C$24)^0</f>
        <v/>
      </c>
      <c r="F11" s="270">
        <f>Assumptions!$D$66*(1+Assumptions!$C$24)^0</f>
        <v/>
      </c>
      <c r="G11" s="270">
        <f>Assumptions!$D$66*(1+Assumptions!$C$24)^0</f>
        <v/>
      </c>
      <c r="H11" s="270">
        <f>Assumptions!$D$66*(1+Assumptions!$C$24)^0</f>
        <v/>
      </c>
      <c r="I11" s="270">
        <f>Assumptions!$D$66*(1+Assumptions!$C$24)^0</f>
        <v/>
      </c>
      <c r="J11" s="270">
        <f>Assumptions!$D$66*(1+Assumptions!$C$24)^0</f>
        <v/>
      </c>
      <c r="K11" s="270">
        <f>Assumptions!$D$66*(1+Assumptions!$C$24)^0</f>
        <v/>
      </c>
      <c r="L11" s="270">
        <f>Assumptions!$D$66*(1+Assumptions!$C$24)^0</f>
        <v/>
      </c>
      <c r="M11" s="270">
        <f>Assumptions!$D$66*(1+Assumptions!$C$24)^0</f>
        <v/>
      </c>
      <c r="N11" s="270">
        <f>B11</f>
        <v/>
      </c>
      <c r="O11" s="270">
        <f>Assumptions!$D$66*(1+Assumptions!$C$24)^1</f>
        <v/>
      </c>
      <c r="P11" s="270">
        <f>Assumptions!$D$66*(1+Assumptions!$C$24)^1</f>
        <v/>
      </c>
      <c r="Q11" s="270">
        <f>Assumptions!$D$66*(1+Assumptions!$C$24)^1</f>
        <v/>
      </c>
      <c r="R11" s="270">
        <f>Assumptions!$D$66*(1+Assumptions!$C$24)^1</f>
        <v/>
      </c>
      <c r="S11" s="270">
        <f>Assumptions!$D$66*(1+Assumptions!$C$24)^1</f>
        <v/>
      </c>
      <c r="T11" s="270">
        <f>Assumptions!$D$66*(1+Assumptions!$C$24)^1</f>
        <v/>
      </c>
      <c r="U11" s="270">
        <f>Assumptions!$D$66*(1+Assumptions!$C$24)^1</f>
        <v/>
      </c>
      <c r="V11" s="270">
        <f>Assumptions!$D$66*(1+Assumptions!$C$24)^1</f>
        <v/>
      </c>
      <c r="W11" s="270">
        <f>Assumptions!$D$66*(1+Assumptions!$C$24)^1</f>
        <v/>
      </c>
      <c r="X11" s="270">
        <f>Assumptions!$D$66*(1+Assumptions!$C$24)^1</f>
        <v/>
      </c>
      <c r="Y11" s="270">
        <f>Assumptions!$D$66*(1+Assumptions!$C$24)^1</f>
        <v/>
      </c>
      <c r="Z11" s="270">
        <f>Assumptions!$D$66*(1+Assumptions!$C$24)^1</f>
        <v/>
      </c>
      <c r="AA11" s="270">
        <f>O11</f>
        <v/>
      </c>
      <c r="AB11" s="270">
        <f>Assumptions!$D$66*(1+Assumptions!$C$24)^2</f>
        <v/>
      </c>
      <c r="AC11" s="270">
        <f>Assumptions!$D$66*(1+Assumptions!$C$24)^2</f>
        <v/>
      </c>
      <c r="AD11" s="270">
        <f>Assumptions!$D$66*(1+Assumptions!$C$24)^2</f>
        <v/>
      </c>
      <c r="AE11" s="270">
        <f>Assumptions!$D$66*(1+Assumptions!$C$24)^2</f>
        <v/>
      </c>
      <c r="AF11" s="270">
        <f>Assumptions!$D$66*(1+Assumptions!$C$24)^2</f>
        <v/>
      </c>
      <c r="AG11" s="270">
        <f>Assumptions!$D$66*(1+Assumptions!$C$24)^2</f>
        <v/>
      </c>
      <c r="AH11" s="270">
        <f>Assumptions!$D$66*(1+Assumptions!$C$24)^2</f>
        <v/>
      </c>
      <c r="AI11" s="270">
        <f>Assumptions!$D$66*(1+Assumptions!$C$24)^2</f>
        <v/>
      </c>
      <c r="AJ11" s="270">
        <f>Assumptions!$D$66*(1+Assumptions!$C$24)^2</f>
        <v/>
      </c>
      <c r="AK11" s="270">
        <f>Assumptions!$D$66*(1+Assumptions!$C$24)^2</f>
        <v/>
      </c>
      <c r="AL11" s="270">
        <f>Assumptions!$D$66*(1+Assumptions!$C$24)^2</f>
        <v/>
      </c>
      <c r="AM11" s="270">
        <f>Assumptions!$D$66*(1+Assumptions!$C$24)^2</f>
        <v/>
      </c>
      <c r="AN11" s="270">
        <f>AB11</f>
        <v/>
      </c>
      <c r="AO11" s="270">
        <f>Assumptions!$D$66*(1+Assumptions!$C$24)^3</f>
        <v/>
      </c>
      <c r="AP11" s="270">
        <f>Assumptions!$D$66*(1+Assumptions!$C$24)^3</f>
        <v/>
      </c>
      <c r="AQ11" s="270">
        <f>Assumptions!$D$66*(1+Assumptions!$C$24)^3</f>
        <v/>
      </c>
      <c r="AR11" s="270">
        <f>Assumptions!$D$66*(1+Assumptions!$C$24)^3</f>
        <v/>
      </c>
      <c r="AS11" s="270">
        <f>Assumptions!$D$66*(1+Assumptions!$C$24)^3</f>
        <v/>
      </c>
      <c r="AT11" s="270">
        <f>Assumptions!$D$66*(1+Assumptions!$C$24)^3</f>
        <v/>
      </c>
      <c r="AU11" s="270">
        <f>Assumptions!$D$66*(1+Assumptions!$C$24)^3</f>
        <v/>
      </c>
      <c r="AV11" s="270">
        <f>Assumptions!$D$66*(1+Assumptions!$C$24)^3</f>
        <v/>
      </c>
      <c r="AW11" s="270">
        <f>Assumptions!$D$66*(1+Assumptions!$C$24)^3</f>
        <v/>
      </c>
      <c r="AX11" s="270">
        <f>Assumptions!$D$66*(1+Assumptions!$C$24)^3</f>
        <v/>
      </c>
      <c r="AY11" s="270">
        <f>Assumptions!$D$66*(1+Assumptions!$C$24)^3</f>
        <v/>
      </c>
      <c r="AZ11" s="270">
        <f>Assumptions!$D$66*(1+Assumptions!$C$24)^3</f>
        <v/>
      </c>
      <c r="BA11" s="270">
        <f>AO11</f>
        <v/>
      </c>
      <c r="BB11" s="270">
        <f>Assumptions!$D$66*(1+Assumptions!$C$24)^4</f>
        <v/>
      </c>
      <c r="BC11" s="270">
        <f>Assumptions!$D$66*(1+Assumptions!$C$24)^4</f>
        <v/>
      </c>
      <c r="BD11" s="270">
        <f>Assumptions!$D$66*(1+Assumptions!$C$24)^4</f>
        <v/>
      </c>
      <c r="BE11" s="270">
        <f>Assumptions!$D$66*(1+Assumptions!$C$24)^4</f>
        <v/>
      </c>
      <c r="BF11" s="270">
        <f>Assumptions!$D$66*(1+Assumptions!$C$24)^4</f>
        <v/>
      </c>
      <c r="BG11" s="270">
        <f>Assumptions!$D$66*(1+Assumptions!$C$24)^4</f>
        <v/>
      </c>
      <c r="BH11" s="270">
        <f>Assumptions!$D$66*(1+Assumptions!$C$24)^4</f>
        <v/>
      </c>
      <c r="BI11" s="270">
        <f>Assumptions!$D$66*(1+Assumptions!$C$24)^4</f>
        <v/>
      </c>
      <c r="BJ11" s="270">
        <f>Assumptions!$D$66*(1+Assumptions!$C$24)^4</f>
        <v/>
      </c>
      <c r="BK11" s="270">
        <f>Assumptions!$D$66*(1+Assumptions!$C$24)^4</f>
        <v/>
      </c>
      <c r="BL11" s="270">
        <f>Assumptions!$D$66*(1+Assumptions!$C$24)^4</f>
        <v/>
      </c>
      <c r="BM11" s="270">
        <f>Assumptions!$D$66*(1+Assumptions!$C$24)^4</f>
        <v/>
      </c>
      <c r="BN11" s="270">
        <f>BB11</f>
        <v/>
      </c>
    </row>
    <row r="12">
      <c r="A12" s="271" t="inlineStr">
        <is>
          <t>Food &amp; Beverage / Restaurant</t>
        </is>
      </c>
      <c r="B12" s="272">
        <f>B10*B11</f>
        <v/>
      </c>
      <c r="C12" s="272">
        <f>C10*C11</f>
        <v/>
      </c>
      <c r="D12" s="272">
        <f>D10*D11</f>
        <v/>
      </c>
      <c r="E12" s="272">
        <f>E10*E11</f>
        <v/>
      </c>
      <c r="F12" s="272">
        <f>F10*F11</f>
        <v/>
      </c>
      <c r="G12" s="272">
        <f>G10*G11</f>
        <v/>
      </c>
      <c r="H12" s="272">
        <f>H10*H11</f>
        <v/>
      </c>
      <c r="I12" s="272">
        <f>I10*I11</f>
        <v/>
      </c>
      <c r="J12" s="272">
        <f>J10*J11</f>
        <v/>
      </c>
      <c r="K12" s="272">
        <f>K10*K11</f>
        <v/>
      </c>
      <c r="L12" s="272">
        <f>L10*L11</f>
        <v/>
      </c>
      <c r="M12" s="272">
        <f>M10*M11</f>
        <v/>
      </c>
      <c r="N12" s="272">
        <f>SUM(B12:M12)</f>
        <v/>
      </c>
      <c r="O12" s="272">
        <f>O10*O11</f>
        <v/>
      </c>
      <c r="P12" s="272">
        <f>P10*P11</f>
        <v/>
      </c>
      <c r="Q12" s="272">
        <f>Q10*Q11</f>
        <v/>
      </c>
      <c r="R12" s="272">
        <f>R10*R11</f>
        <v/>
      </c>
      <c r="S12" s="272">
        <f>S10*S11</f>
        <v/>
      </c>
      <c r="T12" s="272">
        <f>T10*T11</f>
        <v/>
      </c>
      <c r="U12" s="272">
        <f>U10*U11</f>
        <v/>
      </c>
      <c r="V12" s="272">
        <f>V10*V11</f>
        <v/>
      </c>
      <c r="W12" s="272">
        <f>W10*W11</f>
        <v/>
      </c>
      <c r="X12" s="272">
        <f>X10*X11</f>
        <v/>
      </c>
      <c r="Y12" s="272">
        <f>Y10*Y11</f>
        <v/>
      </c>
      <c r="Z12" s="272">
        <f>Z10*Z11</f>
        <v/>
      </c>
      <c r="AA12" s="272">
        <f>SUM(O12:Z12)</f>
        <v/>
      </c>
      <c r="AB12" s="272">
        <f>AB10*AB11</f>
        <v/>
      </c>
      <c r="AC12" s="272">
        <f>AC10*AC11</f>
        <v/>
      </c>
      <c r="AD12" s="272">
        <f>AD10*AD11</f>
        <v/>
      </c>
      <c r="AE12" s="272">
        <f>AE10*AE11</f>
        <v/>
      </c>
      <c r="AF12" s="272">
        <f>AF10*AF11</f>
        <v/>
      </c>
      <c r="AG12" s="272">
        <f>AG10*AG11</f>
        <v/>
      </c>
      <c r="AH12" s="272">
        <f>AH10*AH11</f>
        <v/>
      </c>
      <c r="AI12" s="272">
        <f>AI10*AI11</f>
        <v/>
      </c>
      <c r="AJ12" s="272">
        <f>AJ10*AJ11</f>
        <v/>
      </c>
      <c r="AK12" s="272">
        <f>AK10*AK11</f>
        <v/>
      </c>
      <c r="AL12" s="272">
        <f>AL10*AL11</f>
        <v/>
      </c>
      <c r="AM12" s="272">
        <f>AM10*AM11</f>
        <v/>
      </c>
      <c r="AN12" s="272">
        <f>SUM(AB12:AM12)</f>
        <v/>
      </c>
      <c r="AO12" s="272">
        <f>AO10*AO11</f>
        <v/>
      </c>
      <c r="AP12" s="272">
        <f>AP10*AP11</f>
        <v/>
      </c>
      <c r="AQ12" s="272">
        <f>AQ10*AQ11</f>
        <v/>
      </c>
      <c r="AR12" s="272">
        <f>AR10*AR11</f>
        <v/>
      </c>
      <c r="AS12" s="272">
        <f>AS10*AS11</f>
        <v/>
      </c>
      <c r="AT12" s="272">
        <f>AT10*AT11</f>
        <v/>
      </c>
      <c r="AU12" s="272">
        <f>AU10*AU11</f>
        <v/>
      </c>
      <c r="AV12" s="272">
        <f>AV10*AV11</f>
        <v/>
      </c>
      <c r="AW12" s="272">
        <f>AW10*AW11</f>
        <v/>
      </c>
      <c r="AX12" s="272">
        <f>AX10*AX11</f>
        <v/>
      </c>
      <c r="AY12" s="272">
        <f>AY10*AY11</f>
        <v/>
      </c>
      <c r="AZ12" s="272">
        <f>AZ10*AZ11</f>
        <v/>
      </c>
      <c r="BA12" s="272">
        <f>SUM(AO12:AZ12)</f>
        <v/>
      </c>
      <c r="BB12" s="272">
        <f>BB10*BB11</f>
        <v/>
      </c>
      <c r="BC12" s="272">
        <f>BC10*BC11</f>
        <v/>
      </c>
      <c r="BD12" s="272">
        <f>BD10*BD11</f>
        <v/>
      </c>
      <c r="BE12" s="272">
        <f>BE10*BE11</f>
        <v/>
      </c>
      <c r="BF12" s="272">
        <f>BF10*BF11</f>
        <v/>
      </c>
      <c r="BG12" s="272">
        <f>BG10*BG11</f>
        <v/>
      </c>
      <c r="BH12" s="272">
        <f>BH10*BH11</f>
        <v/>
      </c>
      <c r="BI12" s="272">
        <f>BI10*BI11</f>
        <v/>
      </c>
      <c r="BJ12" s="272">
        <f>BJ10*BJ11</f>
        <v/>
      </c>
      <c r="BK12" s="272">
        <f>BK10*BK11</f>
        <v/>
      </c>
      <c r="BL12" s="272">
        <f>BL10*BL11</f>
        <v/>
      </c>
      <c r="BM12" s="272">
        <f>BM10*BM11</f>
        <v/>
      </c>
      <c r="BN12" s="272">
        <f>SUM(BB12:BM12)</f>
        <v/>
      </c>
    </row>
    <row r="14">
      <c r="A14" s="267" t="inlineStr">
        <is>
          <t>Conference / Banquet hall — units</t>
        </is>
      </c>
      <c r="B14" s="269">
        <f>Assumptions!$C$67*Assumptions!$C$18/12</f>
        <v/>
      </c>
      <c r="C14" s="269">
        <f>Assumptions!$C$67*Assumptions!$C$18/12</f>
        <v/>
      </c>
      <c r="D14" s="269">
        <f>Assumptions!$C$67*Assumptions!$C$18/12</f>
        <v/>
      </c>
      <c r="E14" s="269">
        <f>Assumptions!$C$67*Assumptions!$C$18/12</f>
        <v/>
      </c>
      <c r="F14" s="269">
        <f>Assumptions!$C$67*Assumptions!$C$18/12</f>
        <v/>
      </c>
      <c r="G14" s="269">
        <f>Assumptions!$C$67*Assumptions!$C$18/12</f>
        <v/>
      </c>
      <c r="H14" s="269">
        <f>Assumptions!$C$67*Assumptions!$C$18/12</f>
        <v/>
      </c>
      <c r="I14" s="269">
        <f>Assumptions!$C$67*Assumptions!$C$18/12</f>
        <v/>
      </c>
      <c r="J14" s="269">
        <f>Assumptions!$C$67*Assumptions!$C$18/12</f>
        <v/>
      </c>
      <c r="K14" s="269">
        <f>Assumptions!$C$67*Assumptions!$C$18/12</f>
        <v/>
      </c>
      <c r="L14" s="269">
        <f>Assumptions!$C$67*Assumptions!$C$18/12</f>
        <v/>
      </c>
      <c r="M14" s="269">
        <f>Assumptions!$C$67*Assumptions!$C$18/12</f>
        <v/>
      </c>
      <c r="N14" s="269">
        <f>SUM(B14:M14)</f>
        <v/>
      </c>
      <c r="O14" s="269">
        <f>Assumptions!$C$67*Assumptions!$D$18/12</f>
        <v/>
      </c>
      <c r="P14" s="269">
        <f>Assumptions!$C$67*Assumptions!$D$18/12</f>
        <v/>
      </c>
      <c r="Q14" s="269">
        <f>Assumptions!$C$67*Assumptions!$D$18/12</f>
        <v/>
      </c>
      <c r="R14" s="269">
        <f>Assumptions!$C$67*Assumptions!$D$18/12</f>
        <v/>
      </c>
      <c r="S14" s="269">
        <f>Assumptions!$C$67*Assumptions!$D$18/12</f>
        <v/>
      </c>
      <c r="T14" s="269">
        <f>Assumptions!$C$67*Assumptions!$D$18/12</f>
        <v/>
      </c>
      <c r="U14" s="269">
        <f>Assumptions!$C$67*Assumptions!$D$18/12</f>
        <v/>
      </c>
      <c r="V14" s="269">
        <f>Assumptions!$C$67*Assumptions!$D$18/12</f>
        <v/>
      </c>
      <c r="W14" s="269">
        <f>Assumptions!$C$67*Assumptions!$D$18/12</f>
        <v/>
      </c>
      <c r="X14" s="269">
        <f>Assumptions!$C$67*Assumptions!$D$18/12</f>
        <v/>
      </c>
      <c r="Y14" s="269">
        <f>Assumptions!$C$67*Assumptions!$D$18/12</f>
        <v/>
      </c>
      <c r="Z14" s="269">
        <f>Assumptions!$C$67*Assumptions!$D$18/12</f>
        <v/>
      </c>
      <c r="AA14" s="269">
        <f>SUM(O14:Z14)</f>
        <v/>
      </c>
      <c r="AB14" s="269">
        <f>Assumptions!$C$67*Assumptions!$E$18/12</f>
        <v/>
      </c>
      <c r="AC14" s="269">
        <f>Assumptions!$C$67*Assumptions!$E$18/12</f>
        <v/>
      </c>
      <c r="AD14" s="269">
        <f>Assumptions!$C$67*Assumptions!$E$18/12</f>
        <v/>
      </c>
      <c r="AE14" s="269">
        <f>Assumptions!$C$67*Assumptions!$E$18/12</f>
        <v/>
      </c>
      <c r="AF14" s="269">
        <f>Assumptions!$C$67*Assumptions!$E$18/12</f>
        <v/>
      </c>
      <c r="AG14" s="269">
        <f>Assumptions!$C$67*Assumptions!$E$18/12</f>
        <v/>
      </c>
      <c r="AH14" s="269">
        <f>Assumptions!$C$67*Assumptions!$E$18/12</f>
        <v/>
      </c>
      <c r="AI14" s="269">
        <f>Assumptions!$C$67*Assumptions!$E$18/12</f>
        <v/>
      </c>
      <c r="AJ14" s="269">
        <f>Assumptions!$C$67*Assumptions!$E$18/12</f>
        <v/>
      </c>
      <c r="AK14" s="269">
        <f>Assumptions!$C$67*Assumptions!$E$18/12</f>
        <v/>
      </c>
      <c r="AL14" s="269">
        <f>Assumptions!$C$67*Assumptions!$E$18/12</f>
        <v/>
      </c>
      <c r="AM14" s="269">
        <f>Assumptions!$C$67*Assumptions!$E$18/12</f>
        <v/>
      </c>
      <c r="AN14" s="269">
        <f>SUM(AB14:AM14)</f>
        <v/>
      </c>
      <c r="AO14" s="269">
        <f>Assumptions!$C$67*Assumptions!$F$18/12</f>
        <v/>
      </c>
      <c r="AP14" s="269">
        <f>Assumptions!$C$67*Assumptions!$F$18/12</f>
        <v/>
      </c>
      <c r="AQ14" s="269">
        <f>Assumptions!$C$67*Assumptions!$F$18/12</f>
        <v/>
      </c>
      <c r="AR14" s="269">
        <f>Assumptions!$C$67*Assumptions!$F$18/12</f>
        <v/>
      </c>
      <c r="AS14" s="269">
        <f>Assumptions!$C$67*Assumptions!$F$18/12</f>
        <v/>
      </c>
      <c r="AT14" s="269">
        <f>Assumptions!$C$67*Assumptions!$F$18/12</f>
        <v/>
      </c>
      <c r="AU14" s="269">
        <f>Assumptions!$C$67*Assumptions!$F$18/12</f>
        <v/>
      </c>
      <c r="AV14" s="269">
        <f>Assumptions!$C$67*Assumptions!$F$18/12</f>
        <v/>
      </c>
      <c r="AW14" s="269">
        <f>Assumptions!$C$67*Assumptions!$F$18/12</f>
        <v/>
      </c>
      <c r="AX14" s="269">
        <f>Assumptions!$C$67*Assumptions!$F$18/12</f>
        <v/>
      </c>
      <c r="AY14" s="269">
        <f>Assumptions!$C$67*Assumptions!$F$18/12</f>
        <v/>
      </c>
      <c r="AZ14" s="269">
        <f>Assumptions!$C$67*Assumptions!$F$18/12</f>
        <v/>
      </c>
      <c r="BA14" s="269">
        <f>SUM(AO14:AZ14)</f>
        <v/>
      </c>
      <c r="BB14" s="269">
        <f>Assumptions!$C$67*Assumptions!$G$18/12</f>
        <v/>
      </c>
      <c r="BC14" s="269">
        <f>Assumptions!$C$67*Assumptions!$G$18/12</f>
        <v/>
      </c>
      <c r="BD14" s="269">
        <f>Assumptions!$C$67*Assumptions!$G$18/12</f>
        <v/>
      </c>
      <c r="BE14" s="269">
        <f>Assumptions!$C$67*Assumptions!$G$18/12</f>
        <v/>
      </c>
      <c r="BF14" s="269">
        <f>Assumptions!$C$67*Assumptions!$G$18/12</f>
        <v/>
      </c>
      <c r="BG14" s="269">
        <f>Assumptions!$C$67*Assumptions!$G$18/12</f>
        <v/>
      </c>
      <c r="BH14" s="269">
        <f>Assumptions!$C$67*Assumptions!$G$18/12</f>
        <v/>
      </c>
      <c r="BI14" s="269">
        <f>Assumptions!$C$67*Assumptions!$G$18/12</f>
        <v/>
      </c>
      <c r="BJ14" s="269">
        <f>Assumptions!$C$67*Assumptions!$G$18/12</f>
        <v/>
      </c>
      <c r="BK14" s="269">
        <f>Assumptions!$C$67*Assumptions!$G$18/12</f>
        <v/>
      </c>
      <c r="BL14" s="269">
        <f>Assumptions!$C$67*Assumptions!$G$18/12</f>
        <v/>
      </c>
      <c r="BM14" s="269">
        <f>Assumptions!$C$67*Assumptions!$G$18/12</f>
        <v/>
      </c>
      <c r="BN14" s="269">
        <f>SUM(BB14:BM14)</f>
        <v/>
      </c>
    </row>
    <row r="15">
      <c r="A15" s="267" t="inlineStr">
        <is>
          <t>Conference / Banquet hall — ₹ / unit</t>
        </is>
      </c>
      <c r="B15" s="270">
        <f>Assumptions!$D$67*(1+Assumptions!$C$24)^0</f>
        <v/>
      </c>
      <c r="C15" s="270">
        <f>Assumptions!$D$67*(1+Assumptions!$C$24)^0</f>
        <v/>
      </c>
      <c r="D15" s="270">
        <f>Assumptions!$D$67*(1+Assumptions!$C$24)^0</f>
        <v/>
      </c>
      <c r="E15" s="270">
        <f>Assumptions!$D$67*(1+Assumptions!$C$24)^0</f>
        <v/>
      </c>
      <c r="F15" s="270">
        <f>Assumptions!$D$67*(1+Assumptions!$C$24)^0</f>
        <v/>
      </c>
      <c r="G15" s="270">
        <f>Assumptions!$D$67*(1+Assumptions!$C$24)^0</f>
        <v/>
      </c>
      <c r="H15" s="270">
        <f>Assumptions!$D$67*(1+Assumptions!$C$24)^0</f>
        <v/>
      </c>
      <c r="I15" s="270">
        <f>Assumptions!$D$67*(1+Assumptions!$C$24)^0</f>
        <v/>
      </c>
      <c r="J15" s="270">
        <f>Assumptions!$D$67*(1+Assumptions!$C$24)^0</f>
        <v/>
      </c>
      <c r="K15" s="270">
        <f>Assumptions!$D$67*(1+Assumptions!$C$24)^0</f>
        <v/>
      </c>
      <c r="L15" s="270">
        <f>Assumptions!$D$67*(1+Assumptions!$C$24)^0</f>
        <v/>
      </c>
      <c r="M15" s="270">
        <f>Assumptions!$D$67*(1+Assumptions!$C$24)^0</f>
        <v/>
      </c>
      <c r="N15" s="270">
        <f>B15</f>
        <v/>
      </c>
      <c r="O15" s="270">
        <f>Assumptions!$D$67*(1+Assumptions!$C$24)^1</f>
        <v/>
      </c>
      <c r="P15" s="270">
        <f>Assumptions!$D$67*(1+Assumptions!$C$24)^1</f>
        <v/>
      </c>
      <c r="Q15" s="270">
        <f>Assumptions!$D$67*(1+Assumptions!$C$24)^1</f>
        <v/>
      </c>
      <c r="R15" s="270">
        <f>Assumptions!$D$67*(1+Assumptions!$C$24)^1</f>
        <v/>
      </c>
      <c r="S15" s="270">
        <f>Assumptions!$D$67*(1+Assumptions!$C$24)^1</f>
        <v/>
      </c>
      <c r="T15" s="270">
        <f>Assumptions!$D$67*(1+Assumptions!$C$24)^1</f>
        <v/>
      </c>
      <c r="U15" s="270">
        <f>Assumptions!$D$67*(1+Assumptions!$C$24)^1</f>
        <v/>
      </c>
      <c r="V15" s="270">
        <f>Assumptions!$D$67*(1+Assumptions!$C$24)^1</f>
        <v/>
      </c>
      <c r="W15" s="270">
        <f>Assumptions!$D$67*(1+Assumptions!$C$24)^1</f>
        <v/>
      </c>
      <c r="X15" s="270">
        <f>Assumptions!$D$67*(1+Assumptions!$C$24)^1</f>
        <v/>
      </c>
      <c r="Y15" s="270">
        <f>Assumptions!$D$67*(1+Assumptions!$C$24)^1</f>
        <v/>
      </c>
      <c r="Z15" s="270">
        <f>Assumptions!$D$67*(1+Assumptions!$C$24)^1</f>
        <v/>
      </c>
      <c r="AA15" s="270">
        <f>O15</f>
        <v/>
      </c>
      <c r="AB15" s="270">
        <f>Assumptions!$D$67*(1+Assumptions!$C$24)^2</f>
        <v/>
      </c>
      <c r="AC15" s="270">
        <f>Assumptions!$D$67*(1+Assumptions!$C$24)^2</f>
        <v/>
      </c>
      <c r="AD15" s="270">
        <f>Assumptions!$D$67*(1+Assumptions!$C$24)^2</f>
        <v/>
      </c>
      <c r="AE15" s="270">
        <f>Assumptions!$D$67*(1+Assumptions!$C$24)^2</f>
        <v/>
      </c>
      <c r="AF15" s="270">
        <f>Assumptions!$D$67*(1+Assumptions!$C$24)^2</f>
        <v/>
      </c>
      <c r="AG15" s="270">
        <f>Assumptions!$D$67*(1+Assumptions!$C$24)^2</f>
        <v/>
      </c>
      <c r="AH15" s="270">
        <f>Assumptions!$D$67*(1+Assumptions!$C$24)^2</f>
        <v/>
      </c>
      <c r="AI15" s="270">
        <f>Assumptions!$D$67*(1+Assumptions!$C$24)^2</f>
        <v/>
      </c>
      <c r="AJ15" s="270">
        <f>Assumptions!$D$67*(1+Assumptions!$C$24)^2</f>
        <v/>
      </c>
      <c r="AK15" s="270">
        <f>Assumptions!$D$67*(1+Assumptions!$C$24)^2</f>
        <v/>
      </c>
      <c r="AL15" s="270">
        <f>Assumptions!$D$67*(1+Assumptions!$C$24)^2</f>
        <v/>
      </c>
      <c r="AM15" s="270">
        <f>Assumptions!$D$67*(1+Assumptions!$C$24)^2</f>
        <v/>
      </c>
      <c r="AN15" s="270">
        <f>AB15</f>
        <v/>
      </c>
      <c r="AO15" s="270">
        <f>Assumptions!$D$67*(1+Assumptions!$C$24)^3</f>
        <v/>
      </c>
      <c r="AP15" s="270">
        <f>Assumptions!$D$67*(1+Assumptions!$C$24)^3</f>
        <v/>
      </c>
      <c r="AQ15" s="270">
        <f>Assumptions!$D$67*(1+Assumptions!$C$24)^3</f>
        <v/>
      </c>
      <c r="AR15" s="270">
        <f>Assumptions!$D$67*(1+Assumptions!$C$24)^3</f>
        <v/>
      </c>
      <c r="AS15" s="270">
        <f>Assumptions!$D$67*(1+Assumptions!$C$24)^3</f>
        <v/>
      </c>
      <c r="AT15" s="270">
        <f>Assumptions!$D$67*(1+Assumptions!$C$24)^3</f>
        <v/>
      </c>
      <c r="AU15" s="270">
        <f>Assumptions!$D$67*(1+Assumptions!$C$24)^3</f>
        <v/>
      </c>
      <c r="AV15" s="270">
        <f>Assumptions!$D$67*(1+Assumptions!$C$24)^3</f>
        <v/>
      </c>
      <c r="AW15" s="270">
        <f>Assumptions!$D$67*(1+Assumptions!$C$24)^3</f>
        <v/>
      </c>
      <c r="AX15" s="270">
        <f>Assumptions!$D$67*(1+Assumptions!$C$24)^3</f>
        <v/>
      </c>
      <c r="AY15" s="270">
        <f>Assumptions!$D$67*(1+Assumptions!$C$24)^3</f>
        <v/>
      </c>
      <c r="AZ15" s="270">
        <f>Assumptions!$D$67*(1+Assumptions!$C$24)^3</f>
        <v/>
      </c>
      <c r="BA15" s="270">
        <f>AO15</f>
        <v/>
      </c>
      <c r="BB15" s="270">
        <f>Assumptions!$D$67*(1+Assumptions!$C$24)^4</f>
        <v/>
      </c>
      <c r="BC15" s="270">
        <f>Assumptions!$D$67*(1+Assumptions!$C$24)^4</f>
        <v/>
      </c>
      <c r="BD15" s="270">
        <f>Assumptions!$D$67*(1+Assumptions!$C$24)^4</f>
        <v/>
      </c>
      <c r="BE15" s="270">
        <f>Assumptions!$D$67*(1+Assumptions!$C$24)^4</f>
        <v/>
      </c>
      <c r="BF15" s="270">
        <f>Assumptions!$D$67*(1+Assumptions!$C$24)^4</f>
        <v/>
      </c>
      <c r="BG15" s="270">
        <f>Assumptions!$D$67*(1+Assumptions!$C$24)^4</f>
        <v/>
      </c>
      <c r="BH15" s="270">
        <f>Assumptions!$D$67*(1+Assumptions!$C$24)^4</f>
        <v/>
      </c>
      <c r="BI15" s="270">
        <f>Assumptions!$D$67*(1+Assumptions!$C$24)^4</f>
        <v/>
      </c>
      <c r="BJ15" s="270">
        <f>Assumptions!$D$67*(1+Assumptions!$C$24)^4</f>
        <v/>
      </c>
      <c r="BK15" s="270">
        <f>Assumptions!$D$67*(1+Assumptions!$C$24)^4</f>
        <v/>
      </c>
      <c r="BL15" s="270">
        <f>Assumptions!$D$67*(1+Assumptions!$C$24)^4</f>
        <v/>
      </c>
      <c r="BM15" s="270">
        <f>Assumptions!$D$67*(1+Assumptions!$C$24)^4</f>
        <v/>
      </c>
      <c r="BN15" s="270">
        <f>BB15</f>
        <v/>
      </c>
    </row>
    <row r="16">
      <c r="A16" s="271" t="inlineStr">
        <is>
          <t>Conference / Banquet hall</t>
        </is>
      </c>
      <c r="B16" s="272">
        <f>B14*B15</f>
        <v/>
      </c>
      <c r="C16" s="272">
        <f>C14*C15</f>
        <v/>
      </c>
      <c r="D16" s="272">
        <f>D14*D15</f>
        <v/>
      </c>
      <c r="E16" s="272">
        <f>E14*E15</f>
        <v/>
      </c>
      <c r="F16" s="272">
        <f>F14*F15</f>
        <v/>
      </c>
      <c r="G16" s="272">
        <f>G14*G15</f>
        <v/>
      </c>
      <c r="H16" s="272">
        <f>H14*H15</f>
        <v/>
      </c>
      <c r="I16" s="272">
        <f>I14*I15</f>
        <v/>
      </c>
      <c r="J16" s="272">
        <f>J14*J15</f>
        <v/>
      </c>
      <c r="K16" s="272">
        <f>K14*K15</f>
        <v/>
      </c>
      <c r="L16" s="272">
        <f>L14*L15</f>
        <v/>
      </c>
      <c r="M16" s="272">
        <f>M14*M15</f>
        <v/>
      </c>
      <c r="N16" s="272">
        <f>SUM(B16:M16)</f>
        <v/>
      </c>
      <c r="O16" s="272">
        <f>O14*O15</f>
        <v/>
      </c>
      <c r="P16" s="272">
        <f>P14*P15</f>
        <v/>
      </c>
      <c r="Q16" s="272">
        <f>Q14*Q15</f>
        <v/>
      </c>
      <c r="R16" s="272">
        <f>R14*R15</f>
        <v/>
      </c>
      <c r="S16" s="272">
        <f>S14*S15</f>
        <v/>
      </c>
      <c r="T16" s="272">
        <f>T14*T15</f>
        <v/>
      </c>
      <c r="U16" s="272">
        <f>U14*U15</f>
        <v/>
      </c>
      <c r="V16" s="272">
        <f>V14*V15</f>
        <v/>
      </c>
      <c r="W16" s="272">
        <f>W14*W15</f>
        <v/>
      </c>
      <c r="X16" s="272">
        <f>X14*X15</f>
        <v/>
      </c>
      <c r="Y16" s="272">
        <f>Y14*Y15</f>
        <v/>
      </c>
      <c r="Z16" s="272">
        <f>Z14*Z15</f>
        <v/>
      </c>
      <c r="AA16" s="272">
        <f>SUM(O16:Z16)</f>
        <v/>
      </c>
      <c r="AB16" s="272">
        <f>AB14*AB15</f>
        <v/>
      </c>
      <c r="AC16" s="272">
        <f>AC14*AC15</f>
        <v/>
      </c>
      <c r="AD16" s="272">
        <f>AD14*AD15</f>
        <v/>
      </c>
      <c r="AE16" s="272">
        <f>AE14*AE15</f>
        <v/>
      </c>
      <c r="AF16" s="272">
        <f>AF14*AF15</f>
        <v/>
      </c>
      <c r="AG16" s="272">
        <f>AG14*AG15</f>
        <v/>
      </c>
      <c r="AH16" s="272">
        <f>AH14*AH15</f>
        <v/>
      </c>
      <c r="AI16" s="272">
        <f>AI14*AI15</f>
        <v/>
      </c>
      <c r="AJ16" s="272">
        <f>AJ14*AJ15</f>
        <v/>
      </c>
      <c r="AK16" s="272">
        <f>AK14*AK15</f>
        <v/>
      </c>
      <c r="AL16" s="272">
        <f>AL14*AL15</f>
        <v/>
      </c>
      <c r="AM16" s="272">
        <f>AM14*AM15</f>
        <v/>
      </c>
      <c r="AN16" s="272">
        <f>SUM(AB16:AM16)</f>
        <v/>
      </c>
      <c r="AO16" s="272">
        <f>AO14*AO15</f>
        <v/>
      </c>
      <c r="AP16" s="272">
        <f>AP14*AP15</f>
        <v/>
      </c>
      <c r="AQ16" s="272">
        <f>AQ14*AQ15</f>
        <v/>
      </c>
      <c r="AR16" s="272">
        <f>AR14*AR15</f>
        <v/>
      </c>
      <c r="AS16" s="272">
        <f>AS14*AS15</f>
        <v/>
      </c>
      <c r="AT16" s="272">
        <f>AT14*AT15</f>
        <v/>
      </c>
      <c r="AU16" s="272">
        <f>AU14*AU15</f>
        <v/>
      </c>
      <c r="AV16" s="272">
        <f>AV14*AV15</f>
        <v/>
      </c>
      <c r="AW16" s="272">
        <f>AW14*AW15</f>
        <v/>
      </c>
      <c r="AX16" s="272">
        <f>AX14*AX15</f>
        <v/>
      </c>
      <c r="AY16" s="272">
        <f>AY14*AY15</f>
        <v/>
      </c>
      <c r="AZ16" s="272">
        <f>AZ14*AZ15</f>
        <v/>
      </c>
      <c r="BA16" s="272">
        <f>SUM(AO16:AZ16)</f>
        <v/>
      </c>
      <c r="BB16" s="272">
        <f>BB14*BB15</f>
        <v/>
      </c>
      <c r="BC16" s="272">
        <f>BC14*BC15</f>
        <v/>
      </c>
      <c r="BD16" s="272">
        <f>BD14*BD15</f>
        <v/>
      </c>
      <c r="BE16" s="272">
        <f>BE14*BE15</f>
        <v/>
      </c>
      <c r="BF16" s="272">
        <f>BF14*BF15</f>
        <v/>
      </c>
      <c r="BG16" s="272">
        <f>BG14*BG15</f>
        <v/>
      </c>
      <c r="BH16" s="272">
        <f>BH14*BH15</f>
        <v/>
      </c>
      <c r="BI16" s="272">
        <f>BI14*BI15</f>
        <v/>
      </c>
      <c r="BJ16" s="272">
        <f>BJ14*BJ15</f>
        <v/>
      </c>
      <c r="BK16" s="272">
        <f>BK14*BK15</f>
        <v/>
      </c>
      <c r="BL16" s="272">
        <f>BL14*BL15</f>
        <v/>
      </c>
      <c r="BM16" s="272">
        <f>BM14*BM15</f>
        <v/>
      </c>
      <c r="BN16" s="272">
        <f>SUM(BB16:BM16)</f>
        <v/>
      </c>
    </row>
    <row r="18">
      <c r="A18" s="267" t="inlineStr">
        <is>
          <t>Weddings / Events — units</t>
        </is>
      </c>
      <c r="B18" s="269">
        <f>Assumptions!$C$68*Assumptions!$C$18/12</f>
        <v/>
      </c>
      <c r="C18" s="269">
        <f>Assumptions!$C$68*Assumptions!$C$18/12</f>
        <v/>
      </c>
      <c r="D18" s="269">
        <f>Assumptions!$C$68*Assumptions!$C$18/12</f>
        <v/>
      </c>
      <c r="E18" s="269">
        <f>Assumptions!$C$68*Assumptions!$C$18/12</f>
        <v/>
      </c>
      <c r="F18" s="269">
        <f>Assumptions!$C$68*Assumptions!$C$18/12</f>
        <v/>
      </c>
      <c r="G18" s="269">
        <f>Assumptions!$C$68*Assumptions!$C$18/12</f>
        <v/>
      </c>
      <c r="H18" s="269">
        <f>Assumptions!$C$68*Assumptions!$C$18/12</f>
        <v/>
      </c>
      <c r="I18" s="269">
        <f>Assumptions!$C$68*Assumptions!$C$18/12</f>
        <v/>
      </c>
      <c r="J18" s="269">
        <f>Assumptions!$C$68*Assumptions!$C$18/12</f>
        <v/>
      </c>
      <c r="K18" s="269">
        <f>Assumptions!$C$68*Assumptions!$C$18/12</f>
        <v/>
      </c>
      <c r="L18" s="269">
        <f>Assumptions!$C$68*Assumptions!$C$18/12</f>
        <v/>
      </c>
      <c r="M18" s="269">
        <f>Assumptions!$C$68*Assumptions!$C$18/12</f>
        <v/>
      </c>
      <c r="N18" s="269">
        <f>SUM(B18:M18)</f>
        <v/>
      </c>
      <c r="O18" s="269">
        <f>Assumptions!$C$68*Assumptions!$D$18/12</f>
        <v/>
      </c>
      <c r="P18" s="269">
        <f>Assumptions!$C$68*Assumptions!$D$18/12</f>
        <v/>
      </c>
      <c r="Q18" s="269">
        <f>Assumptions!$C$68*Assumptions!$D$18/12</f>
        <v/>
      </c>
      <c r="R18" s="269">
        <f>Assumptions!$C$68*Assumptions!$D$18/12</f>
        <v/>
      </c>
      <c r="S18" s="269">
        <f>Assumptions!$C$68*Assumptions!$D$18/12</f>
        <v/>
      </c>
      <c r="T18" s="269">
        <f>Assumptions!$C$68*Assumptions!$D$18/12</f>
        <v/>
      </c>
      <c r="U18" s="269">
        <f>Assumptions!$C$68*Assumptions!$D$18/12</f>
        <v/>
      </c>
      <c r="V18" s="269">
        <f>Assumptions!$C$68*Assumptions!$D$18/12</f>
        <v/>
      </c>
      <c r="W18" s="269">
        <f>Assumptions!$C$68*Assumptions!$D$18/12</f>
        <v/>
      </c>
      <c r="X18" s="269">
        <f>Assumptions!$C$68*Assumptions!$D$18/12</f>
        <v/>
      </c>
      <c r="Y18" s="269">
        <f>Assumptions!$C$68*Assumptions!$D$18/12</f>
        <v/>
      </c>
      <c r="Z18" s="269">
        <f>Assumptions!$C$68*Assumptions!$D$18/12</f>
        <v/>
      </c>
      <c r="AA18" s="269">
        <f>SUM(O18:Z18)</f>
        <v/>
      </c>
      <c r="AB18" s="269">
        <f>Assumptions!$C$68*Assumptions!$E$18/12</f>
        <v/>
      </c>
      <c r="AC18" s="269">
        <f>Assumptions!$C$68*Assumptions!$E$18/12</f>
        <v/>
      </c>
      <c r="AD18" s="269">
        <f>Assumptions!$C$68*Assumptions!$E$18/12</f>
        <v/>
      </c>
      <c r="AE18" s="269">
        <f>Assumptions!$C$68*Assumptions!$E$18/12</f>
        <v/>
      </c>
      <c r="AF18" s="269">
        <f>Assumptions!$C$68*Assumptions!$E$18/12</f>
        <v/>
      </c>
      <c r="AG18" s="269">
        <f>Assumptions!$C$68*Assumptions!$E$18/12</f>
        <v/>
      </c>
      <c r="AH18" s="269">
        <f>Assumptions!$C$68*Assumptions!$E$18/12</f>
        <v/>
      </c>
      <c r="AI18" s="269">
        <f>Assumptions!$C$68*Assumptions!$E$18/12</f>
        <v/>
      </c>
      <c r="AJ18" s="269">
        <f>Assumptions!$C$68*Assumptions!$E$18/12</f>
        <v/>
      </c>
      <c r="AK18" s="269">
        <f>Assumptions!$C$68*Assumptions!$E$18/12</f>
        <v/>
      </c>
      <c r="AL18" s="269">
        <f>Assumptions!$C$68*Assumptions!$E$18/12</f>
        <v/>
      </c>
      <c r="AM18" s="269">
        <f>Assumptions!$C$68*Assumptions!$E$18/12</f>
        <v/>
      </c>
      <c r="AN18" s="269">
        <f>SUM(AB18:AM18)</f>
        <v/>
      </c>
      <c r="AO18" s="269">
        <f>Assumptions!$C$68*Assumptions!$F$18/12</f>
        <v/>
      </c>
      <c r="AP18" s="269">
        <f>Assumptions!$C$68*Assumptions!$F$18/12</f>
        <v/>
      </c>
      <c r="AQ18" s="269">
        <f>Assumptions!$C$68*Assumptions!$F$18/12</f>
        <v/>
      </c>
      <c r="AR18" s="269">
        <f>Assumptions!$C$68*Assumptions!$F$18/12</f>
        <v/>
      </c>
      <c r="AS18" s="269">
        <f>Assumptions!$C$68*Assumptions!$F$18/12</f>
        <v/>
      </c>
      <c r="AT18" s="269">
        <f>Assumptions!$C$68*Assumptions!$F$18/12</f>
        <v/>
      </c>
      <c r="AU18" s="269">
        <f>Assumptions!$C$68*Assumptions!$F$18/12</f>
        <v/>
      </c>
      <c r="AV18" s="269">
        <f>Assumptions!$C$68*Assumptions!$F$18/12</f>
        <v/>
      </c>
      <c r="AW18" s="269">
        <f>Assumptions!$C$68*Assumptions!$F$18/12</f>
        <v/>
      </c>
      <c r="AX18" s="269">
        <f>Assumptions!$C$68*Assumptions!$F$18/12</f>
        <v/>
      </c>
      <c r="AY18" s="269">
        <f>Assumptions!$C$68*Assumptions!$F$18/12</f>
        <v/>
      </c>
      <c r="AZ18" s="269">
        <f>Assumptions!$C$68*Assumptions!$F$18/12</f>
        <v/>
      </c>
      <c r="BA18" s="269">
        <f>SUM(AO18:AZ18)</f>
        <v/>
      </c>
      <c r="BB18" s="269">
        <f>Assumptions!$C$68*Assumptions!$G$18/12</f>
        <v/>
      </c>
      <c r="BC18" s="269">
        <f>Assumptions!$C$68*Assumptions!$G$18/12</f>
        <v/>
      </c>
      <c r="BD18" s="269">
        <f>Assumptions!$C$68*Assumptions!$G$18/12</f>
        <v/>
      </c>
      <c r="BE18" s="269">
        <f>Assumptions!$C$68*Assumptions!$G$18/12</f>
        <v/>
      </c>
      <c r="BF18" s="269">
        <f>Assumptions!$C$68*Assumptions!$G$18/12</f>
        <v/>
      </c>
      <c r="BG18" s="269">
        <f>Assumptions!$C$68*Assumptions!$G$18/12</f>
        <v/>
      </c>
      <c r="BH18" s="269">
        <f>Assumptions!$C$68*Assumptions!$G$18/12</f>
        <v/>
      </c>
      <c r="BI18" s="269">
        <f>Assumptions!$C$68*Assumptions!$G$18/12</f>
        <v/>
      </c>
      <c r="BJ18" s="269">
        <f>Assumptions!$C$68*Assumptions!$G$18/12</f>
        <v/>
      </c>
      <c r="BK18" s="269">
        <f>Assumptions!$C$68*Assumptions!$G$18/12</f>
        <v/>
      </c>
      <c r="BL18" s="269">
        <f>Assumptions!$C$68*Assumptions!$G$18/12</f>
        <v/>
      </c>
      <c r="BM18" s="269">
        <f>Assumptions!$C$68*Assumptions!$G$18/12</f>
        <v/>
      </c>
      <c r="BN18" s="269">
        <f>SUM(BB18:BM18)</f>
        <v/>
      </c>
    </row>
    <row r="19">
      <c r="A19" s="267" t="inlineStr">
        <is>
          <t>Weddings / Events — ₹ / unit</t>
        </is>
      </c>
      <c r="B19" s="270">
        <f>Assumptions!$D$68*(1+Assumptions!$C$24)^0</f>
        <v/>
      </c>
      <c r="C19" s="270">
        <f>Assumptions!$D$68*(1+Assumptions!$C$24)^0</f>
        <v/>
      </c>
      <c r="D19" s="270">
        <f>Assumptions!$D$68*(1+Assumptions!$C$24)^0</f>
        <v/>
      </c>
      <c r="E19" s="270">
        <f>Assumptions!$D$68*(1+Assumptions!$C$24)^0</f>
        <v/>
      </c>
      <c r="F19" s="270">
        <f>Assumptions!$D$68*(1+Assumptions!$C$24)^0</f>
        <v/>
      </c>
      <c r="G19" s="270">
        <f>Assumptions!$D$68*(1+Assumptions!$C$24)^0</f>
        <v/>
      </c>
      <c r="H19" s="270">
        <f>Assumptions!$D$68*(1+Assumptions!$C$24)^0</f>
        <v/>
      </c>
      <c r="I19" s="270">
        <f>Assumptions!$D$68*(1+Assumptions!$C$24)^0</f>
        <v/>
      </c>
      <c r="J19" s="270">
        <f>Assumptions!$D$68*(1+Assumptions!$C$24)^0</f>
        <v/>
      </c>
      <c r="K19" s="270">
        <f>Assumptions!$D$68*(1+Assumptions!$C$24)^0</f>
        <v/>
      </c>
      <c r="L19" s="270">
        <f>Assumptions!$D$68*(1+Assumptions!$C$24)^0</f>
        <v/>
      </c>
      <c r="M19" s="270">
        <f>Assumptions!$D$68*(1+Assumptions!$C$24)^0</f>
        <v/>
      </c>
      <c r="N19" s="270">
        <f>B19</f>
        <v/>
      </c>
      <c r="O19" s="270">
        <f>Assumptions!$D$68*(1+Assumptions!$C$24)^1</f>
        <v/>
      </c>
      <c r="P19" s="270">
        <f>Assumptions!$D$68*(1+Assumptions!$C$24)^1</f>
        <v/>
      </c>
      <c r="Q19" s="270">
        <f>Assumptions!$D$68*(1+Assumptions!$C$24)^1</f>
        <v/>
      </c>
      <c r="R19" s="270">
        <f>Assumptions!$D$68*(1+Assumptions!$C$24)^1</f>
        <v/>
      </c>
      <c r="S19" s="270">
        <f>Assumptions!$D$68*(1+Assumptions!$C$24)^1</f>
        <v/>
      </c>
      <c r="T19" s="270">
        <f>Assumptions!$D$68*(1+Assumptions!$C$24)^1</f>
        <v/>
      </c>
      <c r="U19" s="270">
        <f>Assumptions!$D$68*(1+Assumptions!$C$24)^1</f>
        <v/>
      </c>
      <c r="V19" s="270">
        <f>Assumptions!$D$68*(1+Assumptions!$C$24)^1</f>
        <v/>
      </c>
      <c r="W19" s="270">
        <f>Assumptions!$D$68*(1+Assumptions!$C$24)^1</f>
        <v/>
      </c>
      <c r="X19" s="270">
        <f>Assumptions!$D$68*(1+Assumptions!$C$24)^1</f>
        <v/>
      </c>
      <c r="Y19" s="270">
        <f>Assumptions!$D$68*(1+Assumptions!$C$24)^1</f>
        <v/>
      </c>
      <c r="Z19" s="270">
        <f>Assumptions!$D$68*(1+Assumptions!$C$24)^1</f>
        <v/>
      </c>
      <c r="AA19" s="270">
        <f>O19</f>
        <v/>
      </c>
      <c r="AB19" s="270">
        <f>Assumptions!$D$68*(1+Assumptions!$C$24)^2</f>
        <v/>
      </c>
      <c r="AC19" s="270">
        <f>Assumptions!$D$68*(1+Assumptions!$C$24)^2</f>
        <v/>
      </c>
      <c r="AD19" s="270">
        <f>Assumptions!$D$68*(1+Assumptions!$C$24)^2</f>
        <v/>
      </c>
      <c r="AE19" s="270">
        <f>Assumptions!$D$68*(1+Assumptions!$C$24)^2</f>
        <v/>
      </c>
      <c r="AF19" s="270">
        <f>Assumptions!$D$68*(1+Assumptions!$C$24)^2</f>
        <v/>
      </c>
      <c r="AG19" s="270">
        <f>Assumptions!$D$68*(1+Assumptions!$C$24)^2</f>
        <v/>
      </c>
      <c r="AH19" s="270">
        <f>Assumptions!$D$68*(1+Assumptions!$C$24)^2</f>
        <v/>
      </c>
      <c r="AI19" s="270">
        <f>Assumptions!$D$68*(1+Assumptions!$C$24)^2</f>
        <v/>
      </c>
      <c r="AJ19" s="270">
        <f>Assumptions!$D$68*(1+Assumptions!$C$24)^2</f>
        <v/>
      </c>
      <c r="AK19" s="270">
        <f>Assumptions!$D$68*(1+Assumptions!$C$24)^2</f>
        <v/>
      </c>
      <c r="AL19" s="270">
        <f>Assumptions!$D$68*(1+Assumptions!$C$24)^2</f>
        <v/>
      </c>
      <c r="AM19" s="270">
        <f>Assumptions!$D$68*(1+Assumptions!$C$24)^2</f>
        <v/>
      </c>
      <c r="AN19" s="270">
        <f>AB19</f>
        <v/>
      </c>
      <c r="AO19" s="270">
        <f>Assumptions!$D$68*(1+Assumptions!$C$24)^3</f>
        <v/>
      </c>
      <c r="AP19" s="270">
        <f>Assumptions!$D$68*(1+Assumptions!$C$24)^3</f>
        <v/>
      </c>
      <c r="AQ19" s="270">
        <f>Assumptions!$D$68*(1+Assumptions!$C$24)^3</f>
        <v/>
      </c>
      <c r="AR19" s="270">
        <f>Assumptions!$D$68*(1+Assumptions!$C$24)^3</f>
        <v/>
      </c>
      <c r="AS19" s="270">
        <f>Assumptions!$D$68*(1+Assumptions!$C$24)^3</f>
        <v/>
      </c>
      <c r="AT19" s="270">
        <f>Assumptions!$D$68*(1+Assumptions!$C$24)^3</f>
        <v/>
      </c>
      <c r="AU19" s="270">
        <f>Assumptions!$D$68*(1+Assumptions!$C$24)^3</f>
        <v/>
      </c>
      <c r="AV19" s="270">
        <f>Assumptions!$D$68*(1+Assumptions!$C$24)^3</f>
        <v/>
      </c>
      <c r="AW19" s="270">
        <f>Assumptions!$D$68*(1+Assumptions!$C$24)^3</f>
        <v/>
      </c>
      <c r="AX19" s="270">
        <f>Assumptions!$D$68*(1+Assumptions!$C$24)^3</f>
        <v/>
      </c>
      <c r="AY19" s="270">
        <f>Assumptions!$D$68*(1+Assumptions!$C$24)^3</f>
        <v/>
      </c>
      <c r="AZ19" s="270">
        <f>Assumptions!$D$68*(1+Assumptions!$C$24)^3</f>
        <v/>
      </c>
      <c r="BA19" s="270">
        <f>AO19</f>
        <v/>
      </c>
      <c r="BB19" s="270">
        <f>Assumptions!$D$68*(1+Assumptions!$C$24)^4</f>
        <v/>
      </c>
      <c r="BC19" s="270">
        <f>Assumptions!$D$68*(1+Assumptions!$C$24)^4</f>
        <v/>
      </c>
      <c r="BD19" s="270">
        <f>Assumptions!$D$68*(1+Assumptions!$C$24)^4</f>
        <v/>
      </c>
      <c r="BE19" s="270">
        <f>Assumptions!$D$68*(1+Assumptions!$C$24)^4</f>
        <v/>
      </c>
      <c r="BF19" s="270">
        <f>Assumptions!$D$68*(1+Assumptions!$C$24)^4</f>
        <v/>
      </c>
      <c r="BG19" s="270">
        <f>Assumptions!$D$68*(1+Assumptions!$C$24)^4</f>
        <v/>
      </c>
      <c r="BH19" s="270">
        <f>Assumptions!$D$68*(1+Assumptions!$C$24)^4</f>
        <v/>
      </c>
      <c r="BI19" s="270">
        <f>Assumptions!$D$68*(1+Assumptions!$C$24)^4</f>
        <v/>
      </c>
      <c r="BJ19" s="270">
        <f>Assumptions!$D$68*(1+Assumptions!$C$24)^4</f>
        <v/>
      </c>
      <c r="BK19" s="270">
        <f>Assumptions!$D$68*(1+Assumptions!$C$24)^4</f>
        <v/>
      </c>
      <c r="BL19" s="270">
        <f>Assumptions!$D$68*(1+Assumptions!$C$24)^4</f>
        <v/>
      </c>
      <c r="BM19" s="270">
        <f>Assumptions!$D$68*(1+Assumptions!$C$24)^4</f>
        <v/>
      </c>
      <c r="BN19" s="270">
        <f>BB19</f>
        <v/>
      </c>
    </row>
    <row r="20">
      <c r="A20" s="271" t="inlineStr">
        <is>
          <t>Weddings / Events</t>
        </is>
      </c>
      <c r="B20" s="272">
        <f>B18*B19</f>
        <v/>
      </c>
      <c r="C20" s="272">
        <f>C18*C19</f>
        <v/>
      </c>
      <c r="D20" s="272">
        <f>D18*D19</f>
        <v/>
      </c>
      <c r="E20" s="272">
        <f>E18*E19</f>
        <v/>
      </c>
      <c r="F20" s="272">
        <f>F18*F19</f>
        <v/>
      </c>
      <c r="G20" s="272">
        <f>G18*G19</f>
        <v/>
      </c>
      <c r="H20" s="272">
        <f>H18*H19</f>
        <v/>
      </c>
      <c r="I20" s="272">
        <f>I18*I19</f>
        <v/>
      </c>
      <c r="J20" s="272">
        <f>J18*J19</f>
        <v/>
      </c>
      <c r="K20" s="272">
        <f>K18*K19</f>
        <v/>
      </c>
      <c r="L20" s="272">
        <f>L18*L19</f>
        <v/>
      </c>
      <c r="M20" s="272">
        <f>M18*M19</f>
        <v/>
      </c>
      <c r="N20" s="272">
        <f>SUM(B20:M20)</f>
        <v/>
      </c>
      <c r="O20" s="272">
        <f>O18*O19</f>
        <v/>
      </c>
      <c r="P20" s="272">
        <f>P18*P19</f>
        <v/>
      </c>
      <c r="Q20" s="272">
        <f>Q18*Q19</f>
        <v/>
      </c>
      <c r="R20" s="272">
        <f>R18*R19</f>
        <v/>
      </c>
      <c r="S20" s="272">
        <f>S18*S19</f>
        <v/>
      </c>
      <c r="T20" s="272">
        <f>T18*T19</f>
        <v/>
      </c>
      <c r="U20" s="272">
        <f>U18*U19</f>
        <v/>
      </c>
      <c r="V20" s="272">
        <f>V18*V19</f>
        <v/>
      </c>
      <c r="W20" s="272">
        <f>W18*W19</f>
        <v/>
      </c>
      <c r="X20" s="272">
        <f>X18*X19</f>
        <v/>
      </c>
      <c r="Y20" s="272">
        <f>Y18*Y19</f>
        <v/>
      </c>
      <c r="Z20" s="272">
        <f>Z18*Z19</f>
        <v/>
      </c>
      <c r="AA20" s="272">
        <f>SUM(O20:Z20)</f>
        <v/>
      </c>
      <c r="AB20" s="272">
        <f>AB18*AB19</f>
        <v/>
      </c>
      <c r="AC20" s="272">
        <f>AC18*AC19</f>
        <v/>
      </c>
      <c r="AD20" s="272">
        <f>AD18*AD19</f>
        <v/>
      </c>
      <c r="AE20" s="272">
        <f>AE18*AE19</f>
        <v/>
      </c>
      <c r="AF20" s="272">
        <f>AF18*AF19</f>
        <v/>
      </c>
      <c r="AG20" s="272">
        <f>AG18*AG19</f>
        <v/>
      </c>
      <c r="AH20" s="272">
        <f>AH18*AH19</f>
        <v/>
      </c>
      <c r="AI20" s="272">
        <f>AI18*AI19</f>
        <v/>
      </c>
      <c r="AJ20" s="272">
        <f>AJ18*AJ19</f>
        <v/>
      </c>
      <c r="AK20" s="272">
        <f>AK18*AK19</f>
        <v/>
      </c>
      <c r="AL20" s="272">
        <f>AL18*AL19</f>
        <v/>
      </c>
      <c r="AM20" s="272">
        <f>AM18*AM19</f>
        <v/>
      </c>
      <c r="AN20" s="272">
        <f>SUM(AB20:AM20)</f>
        <v/>
      </c>
      <c r="AO20" s="272">
        <f>AO18*AO19</f>
        <v/>
      </c>
      <c r="AP20" s="272">
        <f>AP18*AP19</f>
        <v/>
      </c>
      <c r="AQ20" s="272">
        <f>AQ18*AQ19</f>
        <v/>
      </c>
      <c r="AR20" s="272">
        <f>AR18*AR19</f>
        <v/>
      </c>
      <c r="AS20" s="272">
        <f>AS18*AS19</f>
        <v/>
      </c>
      <c r="AT20" s="272">
        <f>AT18*AT19</f>
        <v/>
      </c>
      <c r="AU20" s="272">
        <f>AU18*AU19</f>
        <v/>
      </c>
      <c r="AV20" s="272">
        <f>AV18*AV19</f>
        <v/>
      </c>
      <c r="AW20" s="272">
        <f>AW18*AW19</f>
        <v/>
      </c>
      <c r="AX20" s="272">
        <f>AX18*AX19</f>
        <v/>
      </c>
      <c r="AY20" s="272">
        <f>AY18*AY19</f>
        <v/>
      </c>
      <c r="AZ20" s="272">
        <f>AZ18*AZ19</f>
        <v/>
      </c>
      <c r="BA20" s="272">
        <f>SUM(AO20:AZ20)</f>
        <v/>
      </c>
      <c r="BB20" s="272">
        <f>BB18*BB19</f>
        <v/>
      </c>
      <c r="BC20" s="272">
        <f>BC18*BC19</f>
        <v/>
      </c>
      <c r="BD20" s="272">
        <f>BD18*BD19</f>
        <v/>
      </c>
      <c r="BE20" s="272">
        <f>BE18*BE19</f>
        <v/>
      </c>
      <c r="BF20" s="272">
        <f>BF18*BF19</f>
        <v/>
      </c>
      <c r="BG20" s="272">
        <f>BG18*BG19</f>
        <v/>
      </c>
      <c r="BH20" s="272">
        <f>BH18*BH19</f>
        <v/>
      </c>
      <c r="BI20" s="272">
        <f>BI18*BI19</f>
        <v/>
      </c>
      <c r="BJ20" s="272">
        <f>BJ18*BJ19</f>
        <v/>
      </c>
      <c r="BK20" s="272">
        <f>BK18*BK19</f>
        <v/>
      </c>
      <c r="BL20" s="272">
        <f>BL18*BL19</f>
        <v/>
      </c>
      <c r="BM20" s="272">
        <f>BM18*BM19</f>
        <v/>
      </c>
      <c r="BN20" s="272">
        <f>SUM(BB20:BM20)</f>
        <v/>
      </c>
    </row>
    <row r="22">
      <c r="A22" s="267" t="inlineStr">
        <is>
          <t>Other ancillary revenue — units</t>
        </is>
      </c>
      <c r="B22" s="269">
        <f>Assumptions!$C$69*Assumptions!$C$18/12</f>
        <v/>
      </c>
      <c r="C22" s="269">
        <f>Assumptions!$C$69*Assumptions!$C$18/12</f>
        <v/>
      </c>
      <c r="D22" s="269">
        <f>Assumptions!$C$69*Assumptions!$C$18/12</f>
        <v/>
      </c>
      <c r="E22" s="269">
        <f>Assumptions!$C$69*Assumptions!$C$18/12</f>
        <v/>
      </c>
      <c r="F22" s="269">
        <f>Assumptions!$C$69*Assumptions!$C$18/12</f>
        <v/>
      </c>
      <c r="G22" s="269">
        <f>Assumptions!$C$69*Assumptions!$C$18/12</f>
        <v/>
      </c>
      <c r="H22" s="269">
        <f>Assumptions!$C$69*Assumptions!$C$18/12</f>
        <v/>
      </c>
      <c r="I22" s="269">
        <f>Assumptions!$C$69*Assumptions!$C$18/12</f>
        <v/>
      </c>
      <c r="J22" s="269">
        <f>Assumptions!$C$69*Assumptions!$C$18/12</f>
        <v/>
      </c>
      <c r="K22" s="269">
        <f>Assumptions!$C$69*Assumptions!$C$18/12</f>
        <v/>
      </c>
      <c r="L22" s="269">
        <f>Assumptions!$C$69*Assumptions!$C$18/12</f>
        <v/>
      </c>
      <c r="M22" s="269">
        <f>Assumptions!$C$69*Assumptions!$C$18/12</f>
        <v/>
      </c>
      <c r="N22" s="269">
        <f>SUM(B22:M22)</f>
        <v/>
      </c>
      <c r="O22" s="269">
        <f>Assumptions!$C$69*Assumptions!$D$18/12</f>
        <v/>
      </c>
      <c r="P22" s="269">
        <f>Assumptions!$C$69*Assumptions!$D$18/12</f>
        <v/>
      </c>
      <c r="Q22" s="269">
        <f>Assumptions!$C$69*Assumptions!$D$18/12</f>
        <v/>
      </c>
      <c r="R22" s="269">
        <f>Assumptions!$C$69*Assumptions!$D$18/12</f>
        <v/>
      </c>
      <c r="S22" s="269">
        <f>Assumptions!$C$69*Assumptions!$D$18/12</f>
        <v/>
      </c>
      <c r="T22" s="269">
        <f>Assumptions!$C$69*Assumptions!$D$18/12</f>
        <v/>
      </c>
      <c r="U22" s="269">
        <f>Assumptions!$C$69*Assumptions!$D$18/12</f>
        <v/>
      </c>
      <c r="V22" s="269">
        <f>Assumptions!$C$69*Assumptions!$D$18/12</f>
        <v/>
      </c>
      <c r="W22" s="269">
        <f>Assumptions!$C$69*Assumptions!$D$18/12</f>
        <v/>
      </c>
      <c r="X22" s="269">
        <f>Assumptions!$C$69*Assumptions!$D$18/12</f>
        <v/>
      </c>
      <c r="Y22" s="269">
        <f>Assumptions!$C$69*Assumptions!$D$18/12</f>
        <v/>
      </c>
      <c r="Z22" s="269">
        <f>Assumptions!$C$69*Assumptions!$D$18/12</f>
        <v/>
      </c>
      <c r="AA22" s="269">
        <f>SUM(O22:Z22)</f>
        <v/>
      </c>
      <c r="AB22" s="269">
        <f>Assumptions!$C$69*Assumptions!$E$18/12</f>
        <v/>
      </c>
      <c r="AC22" s="269">
        <f>Assumptions!$C$69*Assumptions!$E$18/12</f>
        <v/>
      </c>
      <c r="AD22" s="269">
        <f>Assumptions!$C$69*Assumptions!$E$18/12</f>
        <v/>
      </c>
      <c r="AE22" s="269">
        <f>Assumptions!$C$69*Assumptions!$E$18/12</f>
        <v/>
      </c>
      <c r="AF22" s="269">
        <f>Assumptions!$C$69*Assumptions!$E$18/12</f>
        <v/>
      </c>
      <c r="AG22" s="269">
        <f>Assumptions!$C$69*Assumptions!$E$18/12</f>
        <v/>
      </c>
      <c r="AH22" s="269">
        <f>Assumptions!$C$69*Assumptions!$E$18/12</f>
        <v/>
      </c>
      <c r="AI22" s="269">
        <f>Assumptions!$C$69*Assumptions!$E$18/12</f>
        <v/>
      </c>
      <c r="AJ22" s="269">
        <f>Assumptions!$C$69*Assumptions!$E$18/12</f>
        <v/>
      </c>
      <c r="AK22" s="269">
        <f>Assumptions!$C$69*Assumptions!$E$18/12</f>
        <v/>
      </c>
      <c r="AL22" s="269">
        <f>Assumptions!$C$69*Assumptions!$E$18/12</f>
        <v/>
      </c>
      <c r="AM22" s="269">
        <f>Assumptions!$C$69*Assumptions!$E$18/12</f>
        <v/>
      </c>
      <c r="AN22" s="269">
        <f>SUM(AB22:AM22)</f>
        <v/>
      </c>
      <c r="AO22" s="269">
        <f>Assumptions!$C$69*Assumptions!$F$18/12</f>
        <v/>
      </c>
      <c r="AP22" s="269">
        <f>Assumptions!$C$69*Assumptions!$F$18/12</f>
        <v/>
      </c>
      <c r="AQ22" s="269">
        <f>Assumptions!$C$69*Assumptions!$F$18/12</f>
        <v/>
      </c>
      <c r="AR22" s="269">
        <f>Assumptions!$C$69*Assumptions!$F$18/12</f>
        <v/>
      </c>
      <c r="AS22" s="269">
        <f>Assumptions!$C$69*Assumptions!$F$18/12</f>
        <v/>
      </c>
      <c r="AT22" s="269">
        <f>Assumptions!$C$69*Assumptions!$F$18/12</f>
        <v/>
      </c>
      <c r="AU22" s="269">
        <f>Assumptions!$C$69*Assumptions!$F$18/12</f>
        <v/>
      </c>
      <c r="AV22" s="269">
        <f>Assumptions!$C$69*Assumptions!$F$18/12</f>
        <v/>
      </c>
      <c r="AW22" s="269">
        <f>Assumptions!$C$69*Assumptions!$F$18/12</f>
        <v/>
      </c>
      <c r="AX22" s="269">
        <f>Assumptions!$C$69*Assumptions!$F$18/12</f>
        <v/>
      </c>
      <c r="AY22" s="269">
        <f>Assumptions!$C$69*Assumptions!$F$18/12</f>
        <v/>
      </c>
      <c r="AZ22" s="269">
        <f>Assumptions!$C$69*Assumptions!$F$18/12</f>
        <v/>
      </c>
      <c r="BA22" s="269">
        <f>SUM(AO22:AZ22)</f>
        <v/>
      </c>
      <c r="BB22" s="269">
        <f>Assumptions!$C$69*Assumptions!$G$18/12</f>
        <v/>
      </c>
      <c r="BC22" s="269">
        <f>Assumptions!$C$69*Assumptions!$G$18/12</f>
        <v/>
      </c>
      <c r="BD22" s="269">
        <f>Assumptions!$C$69*Assumptions!$G$18/12</f>
        <v/>
      </c>
      <c r="BE22" s="269">
        <f>Assumptions!$C$69*Assumptions!$G$18/12</f>
        <v/>
      </c>
      <c r="BF22" s="269">
        <f>Assumptions!$C$69*Assumptions!$G$18/12</f>
        <v/>
      </c>
      <c r="BG22" s="269">
        <f>Assumptions!$C$69*Assumptions!$G$18/12</f>
        <v/>
      </c>
      <c r="BH22" s="269">
        <f>Assumptions!$C$69*Assumptions!$G$18/12</f>
        <v/>
      </c>
      <c r="BI22" s="269">
        <f>Assumptions!$C$69*Assumptions!$G$18/12</f>
        <v/>
      </c>
      <c r="BJ22" s="269">
        <f>Assumptions!$C$69*Assumptions!$G$18/12</f>
        <v/>
      </c>
      <c r="BK22" s="269">
        <f>Assumptions!$C$69*Assumptions!$G$18/12</f>
        <v/>
      </c>
      <c r="BL22" s="269">
        <f>Assumptions!$C$69*Assumptions!$G$18/12</f>
        <v/>
      </c>
      <c r="BM22" s="269">
        <f>Assumptions!$C$69*Assumptions!$G$18/12</f>
        <v/>
      </c>
      <c r="BN22" s="269">
        <f>SUM(BB22:BM22)</f>
        <v/>
      </c>
    </row>
    <row r="23">
      <c r="A23" s="267" t="inlineStr">
        <is>
          <t>Other ancillary revenue — ₹ / unit</t>
        </is>
      </c>
      <c r="B23" s="270">
        <f>Assumptions!$D$69*(1+Assumptions!$C$24)^0</f>
        <v/>
      </c>
      <c r="C23" s="270">
        <f>Assumptions!$D$69*(1+Assumptions!$C$24)^0</f>
        <v/>
      </c>
      <c r="D23" s="270">
        <f>Assumptions!$D$69*(1+Assumptions!$C$24)^0</f>
        <v/>
      </c>
      <c r="E23" s="270">
        <f>Assumptions!$D$69*(1+Assumptions!$C$24)^0</f>
        <v/>
      </c>
      <c r="F23" s="270">
        <f>Assumptions!$D$69*(1+Assumptions!$C$24)^0</f>
        <v/>
      </c>
      <c r="G23" s="270">
        <f>Assumptions!$D$69*(1+Assumptions!$C$24)^0</f>
        <v/>
      </c>
      <c r="H23" s="270">
        <f>Assumptions!$D$69*(1+Assumptions!$C$24)^0</f>
        <v/>
      </c>
      <c r="I23" s="270">
        <f>Assumptions!$D$69*(1+Assumptions!$C$24)^0</f>
        <v/>
      </c>
      <c r="J23" s="270">
        <f>Assumptions!$D$69*(1+Assumptions!$C$24)^0</f>
        <v/>
      </c>
      <c r="K23" s="270">
        <f>Assumptions!$D$69*(1+Assumptions!$C$24)^0</f>
        <v/>
      </c>
      <c r="L23" s="270">
        <f>Assumptions!$D$69*(1+Assumptions!$C$24)^0</f>
        <v/>
      </c>
      <c r="M23" s="270">
        <f>Assumptions!$D$69*(1+Assumptions!$C$24)^0</f>
        <v/>
      </c>
      <c r="N23" s="270">
        <f>B23</f>
        <v/>
      </c>
      <c r="O23" s="270">
        <f>Assumptions!$D$69*(1+Assumptions!$C$24)^1</f>
        <v/>
      </c>
      <c r="P23" s="270">
        <f>Assumptions!$D$69*(1+Assumptions!$C$24)^1</f>
        <v/>
      </c>
      <c r="Q23" s="270">
        <f>Assumptions!$D$69*(1+Assumptions!$C$24)^1</f>
        <v/>
      </c>
      <c r="R23" s="270">
        <f>Assumptions!$D$69*(1+Assumptions!$C$24)^1</f>
        <v/>
      </c>
      <c r="S23" s="270">
        <f>Assumptions!$D$69*(1+Assumptions!$C$24)^1</f>
        <v/>
      </c>
      <c r="T23" s="270">
        <f>Assumptions!$D$69*(1+Assumptions!$C$24)^1</f>
        <v/>
      </c>
      <c r="U23" s="270">
        <f>Assumptions!$D$69*(1+Assumptions!$C$24)^1</f>
        <v/>
      </c>
      <c r="V23" s="270">
        <f>Assumptions!$D$69*(1+Assumptions!$C$24)^1</f>
        <v/>
      </c>
      <c r="W23" s="270">
        <f>Assumptions!$D$69*(1+Assumptions!$C$24)^1</f>
        <v/>
      </c>
      <c r="X23" s="270">
        <f>Assumptions!$D$69*(1+Assumptions!$C$24)^1</f>
        <v/>
      </c>
      <c r="Y23" s="270">
        <f>Assumptions!$D$69*(1+Assumptions!$C$24)^1</f>
        <v/>
      </c>
      <c r="Z23" s="270">
        <f>Assumptions!$D$69*(1+Assumptions!$C$24)^1</f>
        <v/>
      </c>
      <c r="AA23" s="270">
        <f>O23</f>
        <v/>
      </c>
      <c r="AB23" s="270">
        <f>Assumptions!$D$69*(1+Assumptions!$C$24)^2</f>
        <v/>
      </c>
      <c r="AC23" s="270">
        <f>Assumptions!$D$69*(1+Assumptions!$C$24)^2</f>
        <v/>
      </c>
      <c r="AD23" s="270">
        <f>Assumptions!$D$69*(1+Assumptions!$C$24)^2</f>
        <v/>
      </c>
      <c r="AE23" s="270">
        <f>Assumptions!$D$69*(1+Assumptions!$C$24)^2</f>
        <v/>
      </c>
      <c r="AF23" s="270">
        <f>Assumptions!$D$69*(1+Assumptions!$C$24)^2</f>
        <v/>
      </c>
      <c r="AG23" s="270">
        <f>Assumptions!$D$69*(1+Assumptions!$C$24)^2</f>
        <v/>
      </c>
      <c r="AH23" s="270">
        <f>Assumptions!$D$69*(1+Assumptions!$C$24)^2</f>
        <v/>
      </c>
      <c r="AI23" s="270">
        <f>Assumptions!$D$69*(1+Assumptions!$C$24)^2</f>
        <v/>
      </c>
      <c r="AJ23" s="270">
        <f>Assumptions!$D$69*(1+Assumptions!$C$24)^2</f>
        <v/>
      </c>
      <c r="AK23" s="270">
        <f>Assumptions!$D$69*(1+Assumptions!$C$24)^2</f>
        <v/>
      </c>
      <c r="AL23" s="270">
        <f>Assumptions!$D$69*(1+Assumptions!$C$24)^2</f>
        <v/>
      </c>
      <c r="AM23" s="270">
        <f>Assumptions!$D$69*(1+Assumptions!$C$24)^2</f>
        <v/>
      </c>
      <c r="AN23" s="270">
        <f>AB23</f>
        <v/>
      </c>
      <c r="AO23" s="270">
        <f>Assumptions!$D$69*(1+Assumptions!$C$24)^3</f>
        <v/>
      </c>
      <c r="AP23" s="270">
        <f>Assumptions!$D$69*(1+Assumptions!$C$24)^3</f>
        <v/>
      </c>
      <c r="AQ23" s="270">
        <f>Assumptions!$D$69*(1+Assumptions!$C$24)^3</f>
        <v/>
      </c>
      <c r="AR23" s="270">
        <f>Assumptions!$D$69*(1+Assumptions!$C$24)^3</f>
        <v/>
      </c>
      <c r="AS23" s="270">
        <f>Assumptions!$D$69*(1+Assumptions!$C$24)^3</f>
        <v/>
      </c>
      <c r="AT23" s="270">
        <f>Assumptions!$D$69*(1+Assumptions!$C$24)^3</f>
        <v/>
      </c>
      <c r="AU23" s="270">
        <f>Assumptions!$D$69*(1+Assumptions!$C$24)^3</f>
        <v/>
      </c>
      <c r="AV23" s="270">
        <f>Assumptions!$D$69*(1+Assumptions!$C$24)^3</f>
        <v/>
      </c>
      <c r="AW23" s="270">
        <f>Assumptions!$D$69*(1+Assumptions!$C$24)^3</f>
        <v/>
      </c>
      <c r="AX23" s="270">
        <f>Assumptions!$D$69*(1+Assumptions!$C$24)^3</f>
        <v/>
      </c>
      <c r="AY23" s="270">
        <f>Assumptions!$D$69*(1+Assumptions!$C$24)^3</f>
        <v/>
      </c>
      <c r="AZ23" s="270">
        <f>Assumptions!$D$69*(1+Assumptions!$C$24)^3</f>
        <v/>
      </c>
      <c r="BA23" s="270">
        <f>AO23</f>
        <v/>
      </c>
      <c r="BB23" s="270">
        <f>Assumptions!$D$69*(1+Assumptions!$C$24)^4</f>
        <v/>
      </c>
      <c r="BC23" s="270">
        <f>Assumptions!$D$69*(1+Assumptions!$C$24)^4</f>
        <v/>
      </c>
      <c r="BD23" s="270">
        <f>Assumptions!$D$69*(1+Assumptions!$C$24)^4</f>
        <v/>
      </c>
      <c r="BE23" s="270">
        <f>Assumptions!$D$69*(1+Assumptions!$C$24)^4</f>
        <v/>
      </c>
      <c r="BF23" s="270">
        <f>Assumptions!$D$69*(1+Assumptions!$C$24)^4</f>
        <v/>
      </c>
      <c r="BG23" s="270">
        <f>Assumptions!$D$69*(1+Assumptions!$C$24)^4</f>
        <v/>
      </c>
      <c r="BH23" s="270">
        <f>Assumptions!$D$69*(1+Assumptions!$C$24)^4</f>
        <v/>
      </c>
      <c r="BI23" s="270">
        <f>Assumptions!$D$69*(1+Assumptions!$C$24)^4</f>
        <v/>
      </c>
      <c r="BJ23" s="270">
        <f>Assumptions!$D$69*(1+Assumptions!$C$24)^4</f>
        <v/>
      </c>
      <c r="BK23" s="270">
        <f>Assumptions!$D$69*(1+Assumptions!$C$24)^4</f>
        <v/>
      </c>
      <c r="BL23" s="270">
        <f>Assumptions!$D$69*(1+Assumptions!$C$24)^4</f>
        <v/>
      </c>
      <c r="BM23" s="270">
        <f>Assumptions!$D$69*(1+Assumptions!$C$24)^4</f>
        <v/>
      </c>
      <c r="BN23" s="270">
        <f>BB23</f>
        <v/>
      </c>
    </row>
    <row r="24">
      <c r="A24" s="271" t="inlineStr">
        <is>
          <t>Other ancillary revenue</t>
        </is>
      </c>
      <c r="B24" s="272">
        <f>B22*B23</f>
        <v/>
      </c>
      <c r="C24" s="272">
        <f>C22*C23</f>
        <v/>
      </c>
      <c r="D24" s="272">
        <f>D22*D23</f>
        <v/>
      </c>
      <c r="E24" s="272">
        <f>E22*E23</f>
        <v/>
      </c>
      <c r="F24" s="272">
        <f>F22*F23</f>
        <v/>
      </c>
      <c r="G24" s="272">
        <f>G22*G23</f>
        <v/>
      </c>
      <c r="H24" s="272">
        <f>H22*H23</f>
        <v/>
      </c>
      <c r="I24" s="272">
        <f>I22*I23</f>
        <v/>
      </c>
      <c r="J24" s="272">
        <f>J22*J23</f>
        <v/>
      </c>
      <c r="K24" s="272">
        <f>K22*K23</f>
        <v/>
      </c>
      <c r="L24" s="272">
        <f>L22*L23</f>
        <v/>
      </c>
      <c r="M24" s="272">
        <f>M22*M23</f>
        <v/>
      </c>
      <c r="N24" s="272">
        <f>SUM(B24:M24)</f>
        <v/>
      </c>
      <c r="O24" s="272">
        <f>O22*O23</f>
        <v/>
      </c>
      <c r="P24" s="272">
        <f>P22*P23</f>
        <v/>
      </c>
      <c r="Q24" s="272">
        <f>Q22*Q23</f>
        <v/>
      </c>
      <c r="R24" s="272">
        <f>R22*R23</f>
        <v/>
      </c>
      <c r="S24" s="272">
        <f>S22*S23</f>
        <v/>
      </c>
      <c r="T24" s="272">
        <f>T22*T23</f>
        <v/>
      </c>
      <c r="U24" s="272">
        <f>U22*U23</f>
        <v/>
      </c>
      <c r="V24" s="272">
        <f>V22*V23</f>
        <v/>
      </c>
      <c r="W24" s="272">
        <f>W22*W23</f>
        <v/>
      </c>
      <c r="X24" s="272">
        <f>X22*X23</f>
        <v/>
      </c>
      <c r="Y24" s="272">
        <f>Y22*Y23</f>
        <v/>
      </c>
      <c r="Z24" s="272">
        <f>Z22*Z23</f>
        <v/>
      </c>
      <c r="AA24" s="272">
        <f>SUM(O24:Z24)</f>
        <v/>
      </c>
      <c r="AB24" s="272">
        <f>AB22*AB23</f>
        <v/>
      </c>
      <c r="AC24" s="272">
        <f>AC22*AC23</f>
        <v/>
      </c>
      <c r="AD24" s="272">
        <f>AD22*AD23</f>
        <v/>
      </c>
      <c r="AE24" s="272">
        <f>AE22*AE23</f>
        <v/>
      </c>
      <c r="AF24" s="272">
        <f>AF22*AF23</f>
        <v/>
      </c>
      <c r="AG24" s="272">
        <f>AG22*AG23</f>
        <v/>
      </c>
      <c r="AH24" s="272">
        <f>AH22*AH23</f>
        <v/>
      </c>
      <c r="AI24" s="272">
        <f>AI22*AI23</f>
        <v/>
      </c>
      <c r="AJ24" s="272">
        <f>AJ22*AJ23</f>
        <v/>
      </c>
      <c r="AK24" s="272">
        <f>AK22*AK23</f>
        <v/>
      </c>
      <c r="AL24" s="272">
        <f>AL22*AL23</f>
        <v/>
      </c>
      <c r="AM24" s="272">
        <f>AM22*AM23</f>
        <v/>
      </c>
      <c r="AN24" s="272">
        <f>SUM(AB24:AM24)</f>
        <v/>
      </c>
      <c r="AO24" s="272">
        <f>AO22*AO23</f>
        <v/>
      </c>
      <c r="AP24" s="272">
        <f>AP22*AP23</f>
        <v/>
      </c>
      <c r="AQ24" s="272">
        <f>AQ22*AQ23</f>
        <v/>
      </c>
      <c r="AR24" s="272">
        <f>AR22*AR23</f>
        <v/>
      </c>
      <c r="AS24" s="272">
        <f>AS22*AS23</f>
        <v/>
      </c>
      <c r="AT24" s="272">
        <f>AT22*AT23</f>
        <v/>
      </c>
      <c r="AU24" s="272">
        <f>AU22*AU23</f>
        <v/>
      </c>
      <c r="AV24" s="272">
        <f>AV22*AV23</f>
        <v/>
      </c>
      <c r="AW24" s="272">
        <f>AW22*AW23</f>
        <v/>
      </c>
      <c r="AX24" s="272">
        <f>AX22*AX23</f>
        <v/>
      </c>
      <c r="AY24" s="272">
        <f>AY22*AY23</f>
        <v/>
      </c>
      <c r="AZ24" s="272">
        <f>AZ22*AZ23</f>
        <v/>
      </c>
      <c r="BA24" s="272">
        <f>SUM(AO24:AZ24)</f>
        <v/>
      </c>
      <c r="BB24" s="272">
        <f>BB22*BB23</f>
        <v/>
      </c>
      <c r="BC24" s="272">
        <f>BC22*BC23</f>
        <v/>
      </c>
      <c r="BD24" s="272">
        <f>BD22*BD23</f>
        <v/>
      </c>
      <c r="BE24" s="272">
        <f>BE22*BE23</f>
        <v/>
      </c>
      <c r="BF24" s="272">
        <f>BF22*BF23</f>
        <v/>
      </c>
      <c r="BG24" s="272">
        <f>BG22*BG23</f>
        <v/>
      </c>
      <c r="BH24" s="272">
        <f>BH22*BH23</f>
        <v/>
      </c>
      <c r="BI24" s="272">
        <f>BI22*BI23</f>
        <v/>
      </c>
      <c r="BJ24" s="272">
        <f>BJ22*BJ23</f>
        <v/>
      </c>
      <c r="BK24" s="272">
        <f>BK22*BK23</f>
        <v/>
      </c>
      <c r="BL24" s="272">
        <f>BL22*BL23</f>
        <v/>
      </c>
      <c r="BM24" s="272">
        <f>BM22*BM23</f>
        <v/>
      </c>
      <c r="BN24" s="272">
        <f>SUM(BB24:BM24)</f>
        <v/>
      </c>
    </row>
    <row r="26">
      <c r="A26" s="273" t="inlineStr">
        <is>
          <t>TOTAL REVENUE</t>
        </is>
      </c>
      <c r="B26" s="274">
        <f>B8+B12+B16+B20+B24</f>
        <v/>
      </c>
      <c r="C26" s="274">
        <f>C8+C12+C16+C20+C24</f>
        <v/>
      </c>
      <c r="D26" s="274">
        <f>D8+D12+D16+D20+D24</f>
        <v/>
      </c>
      <c r="E26" s="274">
        <f>E8+E12+E16+E20+E24</f>
        <v/>
      </c>
      <c r="F26" s="274">
        <f>F8+F12+F16+F20+F24</f>
        <v/>
      </c>
      <c r="G26" s="274">
        <f>G8+G12+G16+G20+G24</f>
        <v/>
      </c>
      <c r="H26" s="274">
        <f>H8+H12+H16+H20+H24</f>
        <v/>
      </c>
      <c r="I26" s="274">
        <f>I8+I12+I16+I20+I24</f>
        <v/>
      </c>
      <c r="J26" s="274">
        <f>J8+J12+J16+J20+J24</f>
        <v/>
      </c>
      <c r="K26" s="274">
        <f>K8+K12+K16+K20+K24</f>
        <v/>
      </c>
      <c r="L26" s="274">
        <f>L8+L12+L16+L20+L24</f>
        <v/>
      </c>
      <c r="M26" s="274">
        <f>M8+M12+M16+M20+M24</f>
        <v/>
      </c>
      <c r="N26" s="274">
        <f>SUM(B26:M26)</f>
        <v/>
      </c>
      <c r="O26" s="274">
        <f>O8+O12+O16+O20+O24</f>
        <v/>
      </c>
      <c r="P26" s="274">
        <f>P8+P12+P16+P20+P24</f>
        <v/>
      </c>
      <c r="Q26" s="274">
        <f>Q8+Q12+Q16+Q20+Q24</f>
        <v/>
      </c>
      <c r="R26" s="274">
        <f>R8+R12+R16+R20+R24</f>
        <v/>
      </c>
      <c r="S26" s="274">
        <f>S8+S12+S16+S20+S24</f>
        <v/>
      </c>
      <c r="T26" s="274">
        <f>T8+T12+T16+T20+T24</f>
        <v/>
      </c>
      <c r="U26" s="274">
        <f>U8+U12+U16+U20+U24</f>
        <v/>
      </c>
      <c r="V26" s="274">
        <f>V8+V12+V16+V20+V24</f>
        <v/>
      </c>
      <c r="W26" s="274">
        <f>W8+W12+W16+W20+W24</f>
        <v/>
      </c>
      <c r="X26" s="274">
        <f>X8+X12+X16+X20+X24</f>
        <v/>
      </c>
      <c r="Y26" s="274">
        <f>Y8+Y12+Y16+Y20+Y24</f>
        <v/>
      </c>
      <c r="Z26" s="274">
        <f>Z8+Z12+Z16+Z20+Z24</f>
        <v/>
      </c>
      <c r="AA26" s="274">
        <f>SUM(O26:Z26)</f>
        <v/>
      </c>
      <c r="AB26" s="274">
        <f>AB8+AB12+AB16+AB20+AB24</f>
        <v/>
      </c>
      <c r="AC26" s="274">
        <f>AC8+AC12+AC16+AC20+AC24</f>
        <v/>
      </c>
      <c r="AD26" s="274">
        <f>AD8+AD12+AD16+AD20+AD24</f>
        <v/>
      </c>
      <c r="AE26" s="274">
        <f>AE8+AE12+AE16+AE20+AE24</f>
        <v/>
      </c>
      <c r="AF26" s="274">
        <f>AF8+AF12+AF16+AF20+AF24</f>
        <v/>
      </c>
      <c r="AG26" s="274">
        <f>AG8+AG12+AG16+AG20+AG24</f>
        <v/>
      </c>
      <c r="AH26" s="274">
        <f>AH8+AH12+AH16+AH20+AH24</f>
        <v/>
      </c>
      <c r="AI26" s="274">
        <f>AI8+AI12+AI16+AI20+AI24</f>
        <v/>
      </c>
      <c r="AJ26" s="274">
        <f>AJ8+AJ12+AJ16+AJ20+AJ24</f>
        <v/>
      </c>
      <c r="AK26" s="274">
        <f>AK8+AK12+AK16+AK20+AK24</f>
        <v/>
      </c>
      <c r="AL26" s="274">
        <f>AL8+AL12+AL16+AL20+AL24</f>
        <v/>
      </c>
      <c r="AM26" s="274">
        <f>AM8+AM12+AM16+AM20+AM24</f>
        <v/>
      </c>
      <c r="AN26" s="274">
        <f>SUM(AB26:AM26)</f>
        <v/>
      </c>
      <c r="AO26" s="274">
        <f>AO8+AO12+AO16+AO20+AO24</f>
        <v/>
      </c>
      <c r="AP26" s="274">
        <f>AP8+AP12+AP16+AP20+AP24</f>
        <v/>
      </c>
      <c r="AQ26" s="274">
        <f>AQ8+AQ12+AQ16+AQ20+AQ24</f>
        <v/>
      </c>
      <c r="AR26" s="274">
        <f>AR8+AR12+AR16+AR20+AR24</f>
        <v/>
      </c>
      <c r="AS26" s="274">
        <f>AS8+AS12+AS16+AS20+AS24</f>
        <v/>
      </c>
      <c r="AT26" s="274">
        <f>AT8+AT12+AT16+AT20+AT24</f>
        <v/>
      </c>
      <c r="AU26" s="274">
        <f>AU8+AU12+AU16+AU20+AU24</f>
        <v/>
      </c>
      <c r="AV26" s="274">
        <f>AV8+AV12+AV16+AV20+AV24</f>
        <v/>
      </c>
      <c r="AW26" s="274">
        <f>AW8+AW12+AW16+AW20+AW24</f>
        <v/>
      </c>
      <c r="AX26" s="274">
        <f>AX8+AX12+AX16+AX20+AX24</f>
        <v/>
      </c>
      <c r="AY26" s="274">
        <f>AY8+AY12+AY16+AY20+AY24</f>
        <v/>
      </c>
      <c r="AZ26" s="274">
        <f>AZ8+AZ12+AZ16+AZ20+AZ24</f>
        <v/>
      </c>
      <c r="BA26" s="274">
        <f>SUM(AO26:AZ26)</f>
        <v/>
      </c>
      <c r="BB26" s="274">
        <f>BB8+BB12+BB16+BB20+BB24</f>
        <v/>
      </c>
      <c r="BC26" s="274">
        <f>BC8+BC12+BC16+BC20+BC24</f>
        <v/>
      </c>
      <c r="BD26" s="274">
        <f>BD8+BD12+BD16+BD20+BD24</f>
        <v/>
      </c>
      <c r="BE26" s="274">
        <f>BE8+BE12+BE16+BE20+BE24</f>
        <v/>
      </c>
      <c r="BF26" s="274">
        <f>BF8+BF12+BF16+BF20+BF24</f>
        <v/>
      </c>
      <c r="BG26" s="274">
        <f>BG8+BG12+BG16+BG20+BG24</f>
        <v/>
      </c>
      <c r="BH26" s="274">
        <f>BH8+BH12+BH16+BH20+BH24</f>
        <v/>
      </c>
      <c r="BI26" s="274">
        <f>BI8+BI12+BI16+BI20+BI24</f>
        <v/>
      </c>
      <c r="BJ26" s="274">
        <f>BJ8+BJ12+BJ16+BJ20+BJ24</f>
        <v/>
      </c>
      <c r="BK26" s="274">
        <f>BK8+BK12+BK16+BK20+BK24</f>
        <v/>
      </c>
      <c r="BL26" s="274">
        <f>BL8+BL12+BL16+BL20+BL24</f>
        <v/>
      </c>
      <c r="BM26" s="274">
        <f>BM8+BM12+BM16+BM20+BM24</f>
        <v/>
      </c>
      <c r="BN26" s="274">
        <f>SUM(BB26:BM26)</f>
        <v/>
      </c>
    </row>
    <row r="28">
      <c r="A28" s="275" t="inlineStr">
        <is>
          <t>REVENUE BY TARGET MARKET SEGMENT  (₹)</t>
        </is>
      </c>
      <c r="B28" s="276" t="n"/>
      <c r="C28" s="276" t="n"/>
      <c r="D28" s="276" t="n"/>
      <c r="E28" s="276" t="n"/>
      <c r="F28" s="276" t="n"/>
      <c r="G28" s="276" t="n"/>
      <c r="H28" s="276" t="n"/>
      <c r="I28" s="276" t="n"/>
      <c r="J28" s="276" t="n"/>
      <c r="K28" s="276" t="n"/>
      <c r="L28" s="276" t="n"/>
      <c r="M28" s="276" t="n"/>
      <c r="N28" s="276" t="n"/>
      <c r="O28" s="276" t="n"/>
      <c r="P28" s="276" t="n"/>
      <c r="Q28" s="276" t="n"/>
      <c r="R28" s="276" t="n"/>
      <c r="S28" s="276" t="n"/>
      <c r="T28" s="276" t="n"/>
      <c r="U28" s="276" t="n"/>
      <c r="V28" s="276" t="n"/>
      <c r="W28" s="276" t="n"/>
      <c r="X28" s="276" t="n"/>
      <c r="Y28" s="276" t="n"/>
      <c r="Z28" s="276" t="n"/>
      <c r="AA28" s="276" t="n"/>
      <c r="AB28" s="276" t="n"/>
      <c r="AC28" s="276" t="n"/>
      <c r="AD28" s="276" t="n"/>
      <c r="AE28" s="276" t="n"/>
      <c r="AF28" s="276" t="n"/>
      <c r="AG28" s="276" t="n"/>
      <c r="AH28" s="276" t="n"/>
      <c r="AI28" s="276" t="n"/>
      <c r="AJ28" s="276" t="n"/>
      <c r="AK28" s="276" t="n"/>
      <c r="AL28" s="276" t="n"/>
      <c r="AM28" s="276" t="n"/>
      <c r="AN28" s="276" t="n"/>
      <c r="AO28" s="276" t="n"/>
      <c r="AP28" s="276" t="n"/>
      <c r="AQ28" s="276" t="n"/>
      <c r="AR28" s="276" t="n"/>
      <c r="AS28" s="276" t="n"/>
      <c r="AT28" s="276" t="n"/>
      <c r="AU28" s="276" t="n"/>
      <c r="AV28" s="276" t="n"/>
      <c r="AW28" s="276" t="n"/>
      <c r="AX28" s="276" t="n"/>
      <c r="AY28" s="276" t="n"/>
      <c r="AZ28" s="276" t="n"/>
      <c r="BA28" s="276" t="n"/>
      <c r="BB28" s="276" t="n"/>
      <c r="BC28" s="276" t="n"/>
      <c r="BD28" s="276" t="n"/>
      <c r="BE28" s="276" t="n"/>
      <c r="BF28" s="276" t="n"/>
      <c r="BG28" s="276" t="n"/>
      <c r="BH28" s="276" t="n"/>
      <c r="BI28" s="276" t="n"/>
      <c r="BJ28" s="276" t="n"/>
      <c r="BK28" s="276" t="n"/>
      <c r="BL28" s="276" t="n"/>
      <c r="BM28" s="276" t="n"/>
      <c r="BN28" s="276" t="n"/>
    </row>
    <row r="29">
      <c r="A29" s="267">
        <f>IF(Assumptions!$C$58="","",Assumptions!$C$58)</f>
        <v/>
      </c>
      <c r="B29" s="269">
        <f>IF(Assumptions!$C$58="","",IFERROR(B26*Assumptions!$D$58,0))</f>
        <v/>
      </c>
      <c r="C29" s="269">
        <f>IF(Assumptions!$C$58="","",IFERROR(C26*Assumptions!$D$58,0))</f>
        <v/>
      </c>
      <c r="D29" s="269">
        <f>IF(Assumptions!$C$58="","",IFERROR(D26*Assumptions!$D$58,0))</f>
        <v/>
      </c>
      <c r="E29" s="269">
        <f>IF(Assumptions!$C$58="","",IFERROR(E26*Assumptions!$D$58,0))</f>
        <v/>
      </c>
      <c r="F29" s="269">
        <f>IF(Assumptions!$C$58="","",IFERROR(F26*Assumptions!$D$58,0))</f>
        <v/>
      </c>
      <c r="G29" s="269">
        <f>IF(Assumptions!$C$58="","",IFERROR(G26*Assumptions!$D$58,0))</f>
        <v/>
      </c>
      <c r="H29" s="269">
        <f>IF(Assumptions!$C$58="","",IFERROR(H26*Assumptions!$D$58,0))</f>
        <v/>
      </c>
      <c r="I29" s="269">
        <f>IF(Assumptions!$C$58="","",IFERROR(I26*Assumptions!$D$58,0))</f>
        <v/>
      </c>
      <c r="J29" s="269">
        <f>IF(Assumptions!$C$58="","",IFERROR(J26*Assumptions!$D$58,0))</f>
        <v/>
      </c>
      <c r="K29" s="269">
        <f>IF(Assumptions!$C$58="","",IFERROR(K26*Assumptions!$D$58,0))</f>
        <v/>
      </c>
      <c r="L29" s="269">
        <f>IF(Assumptions!$C$58="","",IFERROR(L26*Assumptions!$D$58,0))</f>
        <v/>
      </c>
      <c r="M29" s="269">
        <f>IF(Assumptions!$C$58="","",IFERROR(M26*Assumptions!$D$58,0))</f>
        <v/>
      </c>
      <c r="N29" s="269">
        <f>SUM(B29:M29)</f>
        <v/>
      </c>
      <c r="O29" s="269">
        <f>IF(Assumptions!$C$58="","",IFERROR(O26*Assumptions!$D$58,0))</f>
        <v/>
      </c>
      <c r="P29" s="269">
        <f>IF(Assumptions!$C$58="","",IFERROR(P26*Assumptions!$D$58,0))</f>
        <v/>
      </c>
      <c r="Q29" s="269">
        <f>IF(Assumptions!$C$58="","",IFERROR(Q26*Assumptions!$D$58,0))</f>
        <v/>
      </c>
      <c r="R29" s="269">
        <f>IF(Assumptions!$C$58="","",IFERROR(R26*Assumptions!$D$58,0))</f>
        <v/>
      </c>
      <c r="S29" s="269">
        <f>IF(Assumptions!$C$58="","",IFERROR(S26*Assumptions!$D$58,0))</f>
        <v/>
      </c>
      <c r="T29" s="269">
        <f>IF(Assumptions!$C$58="","",IFERROR(T26*Assumptions!$D$58,0))</f>
        <v/>
      </c>
      <c r="U29" s="269">
        <f>IF(Assumptions!$C$58="","",IFERROR(U26*Assumptions!$D$58,0))</f>
        <v/>
      </c>
      <c r="V29" s="269">
        <f>IF(Assumptions!$C$58="","",IFERROR(V26*Assumptions!$D$58,0))</f>
        <v/>
      </c>
      <c r="W29" s="269">
        <f>IF(Assumptions!$C$58="","",IFERROR(W26*Assumptions!$D$58,0))</f>
        <v/>
      </c>
      <c r="X29" s="269">
        <f>IF(Assumptions!$C$58="","",IFERROR(X26*Assumptions!$D$58,0))</f>
        <v/>
      </c>
      <c r="Y29" s="269">
        <f>IF(Assumptions!$C$58="","",IFERROR(Y26*Assumptions!$D$58,0))</f>
        <v/>
      </c>
      <c r="Z29" s="269">
        <f>IF(Assumptions!$C$58="","",IFERROR(Z26*Assumptions!$D$58,0))</f>
        <v/>
      </c>
      <c r="AA29" s="269">
        <f>SUM(O29:Z29)</f>
        <v/>
      </c>
      <c r="AB29" s="269">
        <f>IF(Assumptions!$C$58="","",IFERROR(AB26*Assumptions!$D$58,0))</f>
        <v/>
      </c>
      <c r="AC29" s="269">
        <f>IF(Assumptions!$C$58="","",IFERROR(AC26*Assumptions!$D$58,0))</f>
        <v/>
      </c>
      <c r="AD29" s="269">
        <f>IF(Assumptions!$C$58="","",IFERROR(AD26*Assumptions!$D$58,0))</f>
        <v/>
      </c>
      <c r="AE29" s="269">
        <f>IF(Assumptions!$C$58="","",IFERROR(AE26*Assumptions!$D$58,0))</f>
        <v/>
      </c>
      <c r="AF29" s="269">
        <f>IF(Assumptions!$C$58="","",IFERROR(AF26*Assumptions!$D$58,0))</f>
        <v/>
      </c>
      <c r="AG29" s="269">
        <f>IF(Assumptions!$C$58="","",IFERROR(AG26*Assumptions!$D$58,0))</f>
        <v/>
      </c>
      <c r="AH29" s="269">
        <f>IF(Assumptions!$C$58="","",IFERROR(AH26*Assumptions!$D$58,0))</f>
        <v/>
      </c>
      <c r="AI29" s="269">
        <f>IF(Assumptions!$C$58="","",IFERROR(AI26*Assumptions!$D$58,0))</f>
        <v/>
      </c>
      <c r="AJ29" s="269">
        <f>IF(Assumptions!$C$58="","",IFERROR(AJ26*Assumptions!$D$58,0))</f>
        <v/>
      </c>
      <c r="AK29" s="269">
        <f>IF(Assumptions!$C$58="","",IFERROR(AK26*Assumptions!$D$58,0))</f>
        <v/>
      </c>
      <c r="AL29" s="269">
        <f>IF(Assumptions!$C$58="","",IFERROR(AL26*Assumptions!$D$58,0))</f>
        <v/>
      </c>
      <c r="AM29" s="269">
        <f>IF(Assumptions!$C$58="","",IFERROR(AM26*Assumptions!$D$58,0))</f>
        <v/>
      </c>
      <c r="AN29" s="269">
        <f>SUM(AB29:AM29)</f>
        <v/>
      </c>
      <c r="AO29" s="269">
        <f>IF(Assumptions!$C$58="","",IFERROR(AO26*Assumptions!$D$58,0))</f>
        <v/>
      </c>
      <c r="AP29" s="269">
        <f>IF(Assumptions!$C$58="","",IFERROR(AP26*Assumptions!$D$58,0))</f>
        <v/>
      </c>
      <c r="AQ29" s="269">
        <f>IF(Assumptions!$C$58="","",IFERROR(AQ26*Assumptions!$D$58,0))</f>
        <v/>
      </c>
      <c r="AR29" s="269">
        <f>IF(Assumptions!$C$58="","",IFERROR(AR26*Assumptions!$D$58,0))</f>
        <v/>
      </c>
      <c r="AS29" s="269">
        <f>IF(Assumptions!$C$58="","",IFERROR(AS26*Assumptions!$D$58,0))</f>
        <v/>
      </c>
      <c r="AT29" s="269">
        <f>IF(Assumptions!$C$58="","",IFERROR(AT26*Assumptions!$D$58,0))</f>
        <v/>
      </c>
      <c r="AU29" s="269">
        <f>IF(Assumptions!$C$58="","",IFERROR(AU26*Assumptions!$D$58,0))</f>
        <v/>
      </c>
      <c r="AV29" s="269">
        <f>IF(Assumptions!$C$58="","",IFERROR(AV26*Assumptions!$D$58,0))</f>
        <v/>
      </c>
      <c r="AW29" s="269">
        <f>IF(Assumptions!$C$58="","",IFERROR(AW26*Assumptions!$D$58,0))</f>
        <v/>
      </c>
      <c r="AX29" s="269">
        <f>IF(Assumptions!$C$58="","",IFERROR(AX26*Assumptions!$D$58,0))</f>
        <v/>
      </c>
      <c r="AY29" s="269">
        <f>IF(Assumptions!$C$58="","",IFERROR(AY26*Assumptions!$D$58,0))</f>
        <v/>
      </c>
      <c r="AZ29" s="269">
        <f>IF(Assumptions!$C$58="","",IFERROR(AZ26*Assumptions!$D$58,0))</f>
        <v/>
      </c>
      <c r="BA29" s="269">
        <f>SUM(AO29:AZ29)</f>
        <v/>
      </c>
      <c r="BB29" s="269">
        <f>IF(Assumptions!$C$58="","",IFERROR(BB26*Assumptions!$D$58,0))</f>
        <v/>
      </c>
      <c r="BC29" s="269">
        <f>IF(Assumptions!$C$58="","",IFERROR(BC26*Assumptions!$D$58,0))</f>
        <v/>
      </c>
      <c r="BD29" s="269">
        <f>IF(Assumptions!$C$58="","",IFERROR(BD26*Assumptions!$D$58,0))</f>
        <v/>
      </c>
      <c r="BE29" s="269">
        <f>IF(Assumptions!$C$58="","",IFERROR(BE26*Assumptions!$D$58,0))</f>
        <v/>
      </c>
      <c r="BF29" s="269">
        <f>IF(Assumptions!$C$58="","",IFERROR(BF26*Assumptions!$D$58,0))</f>
        <v/>
      </c>
      <c r="BG29" s="269">
        <f>IF(Assumptions!$C$58="","",IFERROR(BG26*Assumptions!$D$58,0))</f>
        <v/>
      </c>
      <c r="BH29" s="269">
        <f>IF(Assumptions!$C$58="","",IFERROR(BH26*Assumptions!$D$58,0))</f>
        <v/>
      </c>
      <c r="BI29" s="269">
        <f>IF(Assumptions!$C$58="","",IFERROR(BI26*Assumptions!$D$58,0))</f>
        <v/>
      </c>
      <c r="BJ29" s="269">
        <f>IF(Assumptions!$C$58="","",IFERROR(BJ26*Assumptions!$D$58,0))</f>
        <v/>
      </c>
      <c r="BK29" s="269">
        <f>IF(Assumptions!$C$58="","",IFERROR(BK26*Assumptions!$D$58,0))</f>
        <v/>
      </c>
      <c r="BL29" s="269">
        <f>IF(Assumptions!$C$58="","",IFERROR(BL26*Assumptions!$D$58,0))</f>
        <v/>
      </c>
      <c r="BM29" s="269">
        <f>IF(Assumptions!$C$58="","",IFERROR(BM26*Assumptions!$D$58,0))</f>
        <v/>
      </c>
      <c r="BN29" s="269">
        <f>SUM(BB29:BM29)</f>
        <v/>
      </c>
    </row>
    <row r="30">
      <c r="A30" s="267">
        <f>IF(Assumptions!$C$59="","",Assumptions!$C$59)</f>
        <v/>
      </c>
      <c r="B30" s="269">
        <f>IF(Assumptions!$C$59="","",IFERROR(B26*Assumptions!$D$59,0))</f>
        <v/>
      </c>
      <c r="C30" s="269">
        <f>IF(Assumptions!$C$59="","",IFERROR(C26*Assumptions!$D$59,0))</f>
        <v/>
      </c>
      <c r="D30" s="269">
        <f>IF(Assumptions!$C$59="","",IFERROR(D26*Assumptions!$D$59,0))</f>
        <v/>
      </c>
      <c r="E30" s="269">
        <f>IF(Assumptions!$C$59="","",IFERROR(E26*Assumptions!$D$59,0))</f>
        <v/>
      </c>
      <c r="F30" s="269">
        <f>IF(Assumptions!$C$59="","",IFERROR(F26*Assumptions!$D$59,0))</f>
        <v/>
      </c>
      <c r="G30" s="269">
        <f>IF(Assumptions!$C$59="","",IFERROR(G26*Assumptions!$D$59,0))</f>
        <v/>
      </c>
      <c r="H30" s="269">
        <f>IF(Assumptions!$C$59="","",IFERROR(H26*Assumptions!$D$59,0))</f>
        <v/>
      </c>
      <c r="I30" s="269">
        <f>IF(Assumptions!$C$59="","",IFERROR(I26*Assumptions!$D$59,0))</f>
        <v/>
      </c>
      <c r="J30" s="269">
        <f>IF(Assumptions!$C$59="","",IFERROR(J26*Assumptions!$D$59,0))</f>
        <v/>
      </c>
      <c r="K30" s="269">
        <f>IF(Assumptions!$C$59="","",IFERROR(K26*Assumptions!$D$59,0))</f>
        <v/>
      </c>
      <c r="L30" s="269">
        <f>IF(Assumptions!$C$59="","",IFERROR(L26*Assumptions!$D$59,0))</f>
        <v/>
      </c>
      <c r="M30" s="269">
        <f>IF(Assumptions!$C$59="","",IFERROR(M26*Assumptions!$D$59,0))</f>
        <v/>
      </c>
      <c r="N30" s="269">
        <f>SUM(B30:M30)</f>
        <v/>
      </c>
      <c r="O30" s="269">
        <f>IF(Assumptions!$C$59="","",IFERROR(O26*Assumptions!$D$59,0))</f>
        <v/>
      </c>
      <c r="P30" s="269">
        <f>IF(Assumptions!$C$59="","",IFERROR(P26*Assumptions!$D$59,0))</f>
        <v/>
      </c>
      <c r="Q30" s="269">
        <f>IF(Assumptions!$C$59="","",IFERROR(Q26*Assumptions!$D$59,0))</f>
        <v/>
      </c>
      <c r="R30" s="269">
        <f>IF(Assumptions!$C$59="","",IFERROR(R26*Assumptions!$D$59,0))</f>
        <v/>
      </c>
      <c r="S30" s="269">
        <f>IF(Assumptions!$C$59="","",IFERROR(S26*Assumptions!$D$59,0))</f>
        <v/>
      </c>
      <c r="T30" s="269">
        <f>IF(Assumptions!$C$59="","",IFERROR(T26*Assumptions!$D$59,0))</f>
        <v/>
      </c>
      <c r="U30" s="269">
        <f>IF(Assumptions!$C$59="","",IFERROR(U26*Assumptions!$D$59,0))</f>
        <v/>
      </c>
      <c r="V30" s="269">
        <f>IF(Assumptions!$C$59="","",IFERROR(V26*Assumptions!$D$59,0))</f>
        <v/>
      </c>
      <c r="W30" s="269">
        <f>IF(Assumptions!$C$59="","",IFERROR(W26*Assumptions!$D$59,0))</f>
        <v/>
      </c>
      <c r="X30" s="269">
        <f>IF(Assumptions!$C$59="","",IFERROR(X26*Assumptions!$D$59,0))</f>
        <v/>
      </c>
      <c r="Y30" s="269">
        <f>IF(Assumptions!$C$59="","",IFERROR(Y26*Assumptions!$D$59,0))</f>
        <v/>
      </c>
      <c r="Z30" s="269">
        <f>IF(Assumptions!$C$59="","",IFERROR(Z26*Assumptions!$D$59,0))</f>
        <v/>
      </c>
      <c r="AA30" s="269">
        <f>SUM(O30:Z30)</f>
        <v/>
      </c>
      <c r="AB30" s="269">
        <f>IF(Assumptions!$C$59="","",IFERROR(AB26*Assumptions!$D$59,0))</f>
        <v/>
      </c>
      <c r="AC30" s="269">
        <f>IF(Assumptions!$C$59="","",IFERROR(AC26*Assumptions!$D$59,0))</f>
        <v/>
      </c>
      <c r="AD30" s="269">
        <f>IF(Assumptions!$C$59="","",IFERROR(AD26*Assumptions!$D$59,0))</f>
        <v/>
      </c>
      <c r="AE30" s="269">
        <f>IF(Assumptions!$C$59="","",IFERROR(AE26*Assumptions!$D$59,0))</f>
        <v/>
      </c>
      <c r="AF30" s="269">
        <f>IF(Assumptions!$C$59="","",IFERROR(AF26*Assumptions!$D$59,0))</f>
        <v/>
      </c>
      <c r="AG30" s="269">
        <f>IF(Assumptions!$C$59="","",IFERROR(AG26*Assumptions!$D$59,0))</f>
        <v/>
      </c>
      <c r="AH30" s="269">
        <f>IF(Assumptions!$C$59="","",IFERROR(AH26*Assumptions!$D$59,0))</f>
        <v/>
      </c>
      <c r="AI30" s="269">
        <f>IF(Assumptions!$C$59="","",IFERROR(AI26*Assumptions!$D$59,0))</f>
        <v/>
      </c>
      <c r="AJ30" s="269">
        <f>IF(Assumptions!$C$59="","",IFERROR(AJ26*Assumptions!$D$59,0))</f>
        <v/>
      </c>
      <c r="AK30" s="269">
        <f>IF(Assumptions!$C$59="","",IFERROR(AK26*Assumptions!$D$59,0))</f>
        <v/>
      </c>
      <c r="AL30" s="269">
        <f>IF(Assumptions!$C$59="","",IFERROR(AL26*Assumptions!$D$59,0))</f>
        <v/>
      </c>
      <c r="AM30" s="269">
        <f>IF(Assumptions!$C$59="","",IFERROR(AM26*Assumptions!$D$59,0))</f>
        <v/>
      </c>
      <c r="AN30" s="269">
        <f>SUM(AB30:AM30)</f>
        <v/>
      </c>
      <c r="AO30" s="269">
        <f>IF(Assumptions!$C$59="","",IFERROR(AO26*Assumptions!$D$59,0))</f>
        <v/>
      </c>
      <c r="AP30" s="269">
        <f>IF(Assumptions!$C$59="","",IFERROR(AP26*Assumptions!$D$59,0))</f>
        <v/>
      </c>
      <c r="AQ30" s="269">
        <f>IF(Assumptions!$C$59="","",IFERROR(AQ26*Assumptions!$D$59,0))</f>
        <v/>
      </c>
      <c r="AR30" s="269">
        <f>IF(Assumptions!$C$59="","",IFERROR(AR26*Assumptions!$D$59,0))</f>
        <v/>
      </c>
      <c r="AS30" s="269">
        <f>IF(Assumptions!$C$59="","",IFERROR(AS26*Assumptions!$D$59,0))</f>
        <v/>
      </c>
      <c r="AT30" s="269">
        <f>IF(Assumptions!$C$59="","",IFERROR(AT26*Assumptions!$D$59,0))</f>
        <v/>
      </c>
      <c r="AU30" s="269">
        <f>IF(Assumptions!$C$59="","",IFERROR(AU26*Assumptions!$D$59,0))</f>
        <v/>
      </c>
      <c r="AV30" s="269">
        <f>IF(Assumptions!$C$59="","",IFERROR(AV26*Assumptions!$D$59,0))</f>
        <v/>
      </c>
      <c r="AW30" s="269">
        <f>IF(Assumptions!$C$59="","",IFERROR(AW26*Assumptions!$D$59,0))</f>
        <v/>
      </c>
      <c r="AX30" s="269">
        <f>IF(Assumptions!$C$59="","",IFERROR(AX26*Assumptions!$D$59,0))</f>
        <v/>
      </c>
      <c r="AY30" s="269">
        <f>IF(Assumptions!$C$59="","",IFERROR(AY26*Assumptions!$D$59,0))</f>
        <v/>
      </c>
      <c r="AZ30" s="269">
        <f>IF(Assumptions!$C$59="","",IFERROR(AZ26*Assumptions!$D$59,0))</f>
        <v/>
      </c>
      <c r="BA30" s="269">
        <f>SUM(AO30:AZ30)</f>
        <v/>
      </c>
      <c r="BB30" s="269">
        <f>IF(Assumptions!$C$59="","",IFERROR(BB26*Assumptions!$D$59,0))</f>
        <v/>
      </c>
      <c r="BC30" s="269">
        <f>IF(Assumptions!$C$59="","",IFERROR(BC26*Assumptions!$D$59,0))</f>
        <v/>
      </c>
      <c r="BD30" s="269">
        <f>IF(Assumptions!$C$59="","",IFERROR(BD26*Assumptions!$D$59,0))</f>
        <v/>
      </c>
      <c r="BE30" s="269">
        <f>IF(Assumptions!$C$59="","",IFERROR(BE26*Assumptions!$D$59,0))</f>
        <v/>
      </c>
      <c r="BF30" s="269">
        <f>IF(Assumptions!$C$59="","",IFERROR(BF26*Assumptions!$D$59,0))</f>
        <v/>
      </c>
      <c r="BG30" s="269">
        <f>IF(Assumptions!$C$59="","",IFERROR(BG26*Assumptions!$D$59,0))</f>
        <v/>
      </c>
      <c r="BH30" s="269">
        <f>IF(Assumptions!$C$59="","",IFERROR(BH26*Assumptions!$D$59,0))</f>
        <v/>
      </c>
      <c r="BI30" s="269">
        <f>IF(Assumptions!$C$59="","",IFERROR(BI26*Assumptions!$D$59,0))</f>
        <v/>
      </c>
      <c r="BJ30" s="269">
        <f>IF(Assumptions!$C$59="","",IFERROR(BJ26*Assumptions!$D$59,0))</f>
        <v/>
      </c>
      <c r="BK30" s="269">
        <f>IF(Assumptions!$C$59="","",IFERROR(BK26*Assumptions!$D$59,0))</f>
        <v/>
      </c>
      <c r="BL30" s="269">
        <f>IF(Assumptions!$C$59="","",IFERROR(BL26*Assumptions!$D$59,0))</f>
        <v/>
      </c>
      <c r="BM30" s="269">
        <f>IF(Assumptions!$C$59="","",IFERROR(BM26*Assumptions!$D$59,0))</f>
        <v/>
      </c>
      <c r="BN30" s="269">
        <f>SUM(BB30:BM30)</f>
        <v/>
      </c>
    </row>
    <row r="31">
      <c r="A31" s="267">
        <f>IF(Assumptions!$C$60="","",Assumptions!$C$60)</f>
        <v/>
      </c>
      <c r="B31" s="269">
        <f>IF(Assumptions!$C$60="","",IFERROR(B26*Assumptions!$D$60,0))</f>
        <v/>
      </c>
      <c r="C31" s="269">
        <f>IF(Assumptions!$C$60="","",IFERROR(C26*Assumptions!$D$60,0))</f>
        <v/>
      </c>
      <c r="D31" s="269">
        <f>IF(Assumptions!$C$60="","",IFERROR(D26*Assumptions!$D$60,0))</f>
        <v/>
      </c>
      <c r="E31" s="269">
        <f>IF(Assumptions!$C$60="","",IFERROR(E26*Assumptions!$D$60,0))</f>
        <v/>
      </c>
      <c r="F31" s="269">
        <f>IF(Assumptions!$C$60="","",IFERROR(F26*Assumptions!$D$60,0))</f>
        <v/>
      </c>
      <c r="G31" s="269">
        <f>IF(Assumptions!$C$60="","",IFERROR(G26*Assumptions!$D$60,0))</f>
        <v/>
      </c>
      <c r="H31" s="269">
        <f>IF(Assumptions!$C$60="","",IFERROR(H26*Assumptions!$D$60,0))</f>
        <v/>
      </c>
      <c r="I31" s="269">
        <f>IF(Assumptions!$C$60="","",IFERROR(I26*Assumptions!$D$60,0))</f>
        <v/>
      </c>
      <c r="J31" s="269">
        <f>IF(Assumptions!$C$60="","",IFERROR(J26*Assumptions!$D$60,0))</f>
        <v/>
      </c>
      <c r="K31" s="269">
        <f>IF(Assumptions!$C$60="","",IFERROR(K26*Assumptions!$D$60,0))</f>
        <v/>
      </c>
      <c r="L31" s="269">
        <f>IF(Assumptions!$C$60="","",IFERROR(L26*Assumptions!$D$60,0))</f>
        <v/>
      </c>
      <c r="M31" s="269">
        <f>IF(Assumptions!$C$60="","",IFERROR(M26*Assumptions!$D$60,0))</f>
        <v/>
      </c>
      <c r="N31" s="269">
        <f>SUM(B31:M31)</f>
        <v/>
      </c>
      <c r="O31" s="269">
        <f>IF(Assumptions!$C$60="","",IFERROR(O26*Assumptions!$D$60,0))</f>
        <v/>
      </c>
      <c r="P31" s="269">
        <f>IF(Assumptions!$C$60="","",IFERROR(P26*Assumptions!$D$60,0))</f>
        <v/>
      </c>
      <c r="Q31" s="269">
        <f>IF(Assumptions!$C$60="","",IFERROR(Q26*Assumptions!$D$60,0))</f>
        <v/>
      </c>
      <c r="R31" s="269">
        <f>IF(Assumptions!$C$60="","",IFERROR(R26*Assumptions!$D$60,0))</f>
        <v/>
      </c>
      <c r="S31" s="269">
        <f>IF(Assumptions!$C$60="","",IFERROR(S26*Assumptions!$D$60,0))</f>
        <v/>
      </c>
      <c r="T31" s="269">
        <f>IF(Assumptions!$C$60="","",IFERROR(T26*Assumptions!$D$60,0))</f>
        <v/>
      </c>
      <c r="U31" s="269">
        <f>IF(Assumptions!$C$60="","",IFERROR(U26*Assumptions!$D$60,0))</f>
        <v/>
      </c>
      <c r="V31" s="269">
        <f>IF(Assumptions!$C$60="","",IFERROR(V26*Assumptions!$D$60,0))</f>
        <v/>
      </c>
      <c r="W31" s="269">
        <f>IF(Assumptions!$C$60="","",IFERROR(W26*Assumptions!$D$60,0))</f>
        <v/>
      </c>
      <c r="X31" s="269">
        <f>IF(Assumptions!$C$60="","",IFERROR(X26*Assumptions!$D$60,0))</f>
        <v/>
      </c>
      <c r="Y31" s="269">
        <f>IF(Assumptions!$C$60="","",IFERROR(Y26*Assumptions!$D$60,0))</f>
        <v/>
      </c>
      <c r="Z31" s="269">
        <f>IF(Assumptions!$C$60="","",IFERROR(Z26*Assumptions!$D$60,0))</f>
        <v/>
      </c>
      <c r="AA31" s="269">
        <f>SUM(O31:Z31)</f>
        <v/>
      </c>
      <c r="AB31" s="269">
        <f>IF(Assumptions!$C$60="","",IFERROR(AB26*Assumptions!$D$60,0))</f>
        <v/>
      </c>
      <c r="AC31" s="269">
        <f>IF(Assumptions!$C$60="","",IFERROR(AC26*Assumptions!$D$60,0))</f>
        <v/>
      </c>
      <c r="AD31" s="269">
        <f>IF(Assumptions!$C$60="","",IFERROR(AD26*Assumptions!$D$60,0))</f>
        <v/>
      </c>
      <c r="AE31" s="269">
        <f>IF(Assumptions!$C$60="","",IFERROR(AE26*Assumptions!$D$60,0))</f>
        <v/>
      </c>
      <c r="AF31" s="269">
        <f>IF(Assumptions!$C$60="","",IFERROR(AF26*Assumptions!$D$60,0))</f>
        <v/>
      </c>
      <c r="AG31" s="269">
        <f>IF(Assumptions!$C$60="","",IFERROR(AG26*Assumptions!$D$60,0))</f>
        <v/>
      </c>
      <c r="AH31" s="269">
        <f>IF(Assumptions!$C$60="","",IFERROR(AH26*Assumptions!$D$60,0))</f>
        <v/>
      </c>
      <c r="AI31" s="269">
        <f>IF(Assumptions!$C$60="","",IFERROR(AI26*Assumptions!$D$60,0))</f>
        <v/>
      </c>
      <c r="AJ31" s="269">
        <f>IF(Assumptions!$C$60="","",IFERROR(AJ26*Assumptions!$D$60,0))</f>
        <v/>
      </c>
      <c r="AK31" s="269">
        <f>IF(Assumptions!$C$60="","",IFERROR(AK26*Assumptions!$D$60,0))</f>
        <v/>
      </c>
      <c r="AL31" s="269">
        <f>IF(Assumptions!$C$60="","",IFERROR(AL26*Assumptions!$D$60,0))</f>
        <v/>
      </c>
      <c r="AM31" s="269">
        <f>IF(Assumptions!$C$60="","",IFERROR(AM26*Assumptions!$D$60,0))</f>
        <v/>
      </c>
      <c r="AN31" s="269">
        <f>SUM(AB31:AM31)</f>
        <v/>
      </c>
      <c r="AO31" s="269">
        <f>IF(Assumptions!$C$60="","",IFERROR(AO26*Assumptions!$D$60,0))</f>
        <v/>
      </c>
      <c r="AP31" s="269">
        <f>IF(Assumptions!$C$60="","",IFERROR(AP26*Assumptions!$D$60,0))</f>
        <v/>
      </c>
      <c r="AQ31" s="269">
        <f>IF(Assumptions!$C$60="","",IFERROR(AQ26*Assumptions!$D$60,0))</f>
        <v/>
      </c>
      <c r="AR31" s="269">
        <f>IF(Assumptions!$C$60="","",IFERROR(AR26*Assumptions!$D$60,0))</f>
        <v/>
      </c>
      <c r="AS31" s="269">
        <f>IF(Assumptions!$C$60="","",IFERROR(AS26*Assumptions!$D$60,0))</f>
        <v/>
      </c>
      <c r="AT31" s="269">
        <f>IF(Assumptions!$C$60="","",IFERROR(AT26*Assumptions!$D$60,0))</f>
        <v/>
      </c>
      <c r="AU31" s="269">
        <f>IF(Assumptions!$C$60="","",IFERROR(AU26*Assumptions!$D$60,0))</f>
        <v/>
      </c>
      <c r="AV31" s="269">
        <f>IF(Assumptions!$C$60="","",IFERROR(AV26*Assumptions!$D$60,0))</f>
        <v/>
      </c>
      <c r="AW31" s="269">
        <f>IF(Assumptions!$C$60="","",IFERROR(AW26*Assumptions!$D$60,0))</f>
        <v/>
      </c>
      <c r="AX31" s="269">
        <f>IF(Assumptions!$C$60="","",IFERROR(AX26*Assumptions!$D$60,0))</f>
        <v/>
      </c>
      <c r="AY31" s="269">
        <f>IF(Assumptions!$C$60="","",IFERROR(AY26*Assumptions!$D$60,0))</f>
        <v/>
      </c>
      <c r="AZ31" s="269">
        <f>IF(Assumptions!$C$60="","",IFERROR(AZ26*Assumptions!$D$60,0))</f>
        <v/>
      </c>
      <c r="BA31" s="269">
        <f>SUM(AO31:AZ31)</f>
        <v/>
      </c>
      <c r="BB31" s="269">
        <f>IF(Assumptions!$C$60="","",IFERROR(BB26*Assumptions!$D$60,0))</f>
        <v/>
      </c>
      <c r="BC31" s="269">
        <f>IF(Assumptions!$C$60="","",IFERROR(BC26*Assumptions!$D$60,0))</f>
        <v/>
      </c>
      <c r="BD31" s="269">
        <f>IF(Assumptions!$C$60="","",IFERROR(BD26*Assumptions!$D$60,0))</f>
        <v/>
      </c>
      <c r="BE31" s="269">
        <f>IF(Assumptions!$C$60="","",IFERROR(BE26*Assumptions!$D$60,0))</f>
        <v/>
      </c>
      <c r="BF31" s="269">
        <f>IF(Assumptions!$C$60="","",IFERROR(BF26*Assumptions!$D$60,0))</f>
        <v/>
      </c>
      <c r="BG31" s="269">
        <f>IF(Assumptions!$C$60="","",IFERROR(BG26*Assumptions!$D$60,0))</f>
        <v/>
      </c>
      <c r="BH31" s="269">
        <f>IF(Assumptions!$C$60="","",IFERROR(BH26*Assumptions!$D$60,0))</f>
        <v/>
      </c>
      <c r="BI31" s="269">
        <f>IF(Assumptions!$C$60="","",IFERROR(BI26*Assumptions!$D$60,0))</f>
        <v/>
      </c>
      <c r="BJ31" s="269">
        <f>IF(Assumptions!$C$60="","",IFERROR(BJ26*Assumptions!$D$60,0))</f>
        <v/>
      </c>
      <c r="BK31" s="269">
        <f>IF(Assumptions!$C$60="","",IFERROR(BK26*Assumptions!$D$60,0))</f>
        <v/>
      </c>
      <c r="BL31" s="269">
        <f>IF(Assumptions!$C$60="","",IFERROR(BL26*Assumptions!$D$60,0))</f>
        <v/>
      </c>
      <c r="BM31" s="269">
        <f>IF(Assumptions!$C$60="","",IFERROR(BM26*Assumptions!$D$60,0))</f>
        <v/>
      </c>
      <c r="BN31" s="269">
        <f>SUM(BB31:BM31)</f>
        <v/>
      </c>
    </row>
    <row r="32">
      <c r="A32" s="267">
        <f>IF(Assumptions!$C$61="","",Assumptions!$C$61)</f>
        <v/>
      </c>
      <c r="B32" s="269">
        <f>IF(Assumptions!$C$61="","",IFERROR(B26*Assumptions!$D$61,0))</f>
        <v/>
      </c>
      <c r="C32" s="269">
        <f>IF(Assumptions!$C$61="","",IFERROR(C26*Assumptions!$D$61,0))</f>
        <v/>
      </c>
      <c r="D32" s="269">
        <f>IF(Assumptions!$C$61="","",IFERROR(D26*Assumptions!$D$61,0))</f>
        <v/>
      </c>
      <c r="E32" s="269">
        <f>IF(Assumptions!$C$61="","",IFERROR(E26*Assumptions!$D$61,0))</f>
        <v/>
      </c>
      <c r="F32" s="269">
        <f>IF(Assumptions!$C$61="","",IFERROR(F26*Assumptions!$D$61,0))</f>
        <v/>
      </c>
      <c r="G32" s="269">
        <f>IF(Assumptions!$C$61="","",IFERROR(G26*Assumptions!$D$61,0))</f>
        <v/>
      </c>
      <c r="H32" s="269">
        <f>IF(Assumptions!$C$61="","",IFERROR(H26*Assumptions!$D$61,0))</f>
        <v/>
      </c>
      <c r="I32" s="269">
        <f>IF(Assumptions!$C$61="","",IFERROR(I26*Assumptions!$D$61,0))</f>
        <v/>
      </c>
      <c r="J32" s="269">
        <f>IF(Assumptions!$C$61="","",IFERROR(J26*Assumptions!$D$61,0))</f>
        <v/>
      </c>
      <c r="K32" s="269">
        <f>IF(Assumptions!$C$61="","",IFERROR(K26*Assumptions!$D$61,0))</f>
        <v/>
      </c>
      <c r="L32" s="269">
        <f>IF(Assumptions!$C$61="","",IFERROR(L26*Assumptions!$D$61,0))</f>
        <v/>
      </c>
      <c r="M32" s="269">
        <f>IF(Assumptions!$C$61="","",IFERROR(M26*Assumptions!$D$61,0))</f>
        <v/>
      </c>
      <c r="N32" s="269">
        <f>SUM(B32:M32)</f>
        <v/>
      </c>
      <c r="O32" s="269">
        <f>IF(Assumptions!$C$61="","",IFERROR(O26*Assumptions!$D$61,0))</f>
        <v/>
      </c>
      <c r="P32" s="269">
        <f>IF(Assumptions!$C$61="","",IFERROR(P26*Assumptions!$D$61,0))</f>
        <v/>
      </c>
      <c r="Q32" s="269">
        <f>IF(Assumptions!$C$61="","",IFERROR(Q26*Assumptions!$D$61,0))</f>
        <v/>
      </c>
      <c r="R32" s="269">
        <f>IF(Assumptions!$C$61="","",IFERROR(R26*Assumptions!$D$61,0))</f>
        <v/>
      </c>
      <c r="S32" s="269">
        <f>IF(Assumptions!$C$61="","",IFERROR(S26*Assumptions!$D$61,0))</f>
        <v/>
      </c>
      <c r="T32" s="269">
        <f>IF(Assumptions!$C$61="","",IFERROR(T26*Assumptions!$D$61,0))</f>
        <v/>
      </c>
      <c r="U32" s="269">
        <f>IF(Assumptions!$C$61="","",IFERROR(U26*Assumptions!$D$61,0))</f>
        <v/>
      </c>
      <c r="V32" s="269">
        <f>IF(Assumptions!$C$61="","",IFERROR(V26*Assumptions!$D$61,0))</f>
        <v/>
      </c>
      <c r="W32" s="269">
        <f>IF(Assumptions!$C$61="","",IFERROR(W26*Assumptions!$D$61,0))</f>
        <v/>
      </c>
      <c r="X32" s="269">
        <f>IF(Assumptions!$C$61="","",IFERROR(X26*Assumptions!$D$61,0))</f>
        <v/>
      </c>
      <c r="Y32" s="269">
        <f>IF(Assumptions!$C$61="","",IFERROR(Y26*Assumptions!$D$61,0))</f>
        <v/>
      </c>
      <c r="Z32" s="269">
        <f>IF(Assumptions!$C$61="","",IFERROR(Z26*Assumptions!$D$61,0))</f>
        <v/>
      </c>
      <c r="AA32" s="269">
        <f>SUM(O32:Z32)</f>
        <v/>
      </c>
      <c r="AB32" s="269">
        <f>IF(Assumptions!$C$61="","",IFERROR(AB26*Assumptions!$D$61,0))</f>
        <v/>
      </c>
      <c r="AC32" s="269">
        <f>IF(Assumptions!$C$61="","",IFERROR(AC26*Assumptions!$D$61,0))</f>
        <v/>
      </c>
      <c r="AD32" s="269">
        <f>IF(Assumptions!$C$61="","",IFERROR(AD26*Assumptions!$D$61,0))</f>
        <v/>
      </c>
      <c r="AE32" s="269">
        <f>IF(Assumptions!$C$61="","",IFERROR(AE26*Assumptions!$D$61,0))</f>
        <v/>
      </c>
      <c r="AF32" s="269">
        <f>IF(Assumptions!$C$61="","",IFERROR(AF26*Assumptions!$D$61,0))</f>
        <v/>
      </c>
      <c r="AG32" s="269">
        <f>IF(Assumptions!$C$61="","",IFERROR(AG26*Assumptions!$D$61,0))</f>
        <v/>
      </c>
      <c r="AH32" s="269">
        <f>IF(Assumptions!$C$61="","",IFERROR(AH26*Assumptions!$D$61,0))</f>
        <v/>
      </c>
      <c r="AI32" s="269">
        <f>IF(Assumptions!$C$61="","",IFERROR(AI26*Assumptions!$D$61,0))</f>
        <v/>
      </c>
      <c r="AJ32" s="269">
        <f>IF(Assumptions!$C$61="","",IFERROR(AJ26*Assumptions!$D$61,0))</f>
        <v/>
      </c>
      <c r="AK32" s="269">
        <f>IF(Assumptions!$C$61="","",IFERROR(AK26*Assumptions!$D$61,0))</f>
        <v/>
      </c>
      <c r="AL32" s="269">
        <f>IF(Assumptions!$C$61="","",IFERROR(AL26*Assumptions!$D$61,0))</f>
        <v/>
      </c>
      <c r="AM32" s="269">
        <f>IF(Assumptions!$C$61="","",IFERROR(AM26*Assumptions!$D$61,0))</f>
        <v/>
      </c>
      <c r="AN32" s="269">
        <f>SUM(AB32:AM32)</f>
        <v/>
      </c>
      <c r="AO32" s="269">
        <f>IF(Assumptions!$C$61="","",IFERROR(AO26*Assumptions!$D$61,0))</f>
        <v/>
      </c>
      <c r="AP32" s="269">
        <f>IF(Assumptions!$C$61="","",IFERROR(AP26*Assumptions!$D$61,0))</f>
        <v/>
      </c>
      <c r="AQ32" s="269">
        <f>IF(Assumptions!$C$61="","",IFERROR(AQ26*Assumptions!$D$61,0))</f>
        <v/>
      </c>
      <c r="AR32" s="269">
        <f>IF(Assumptions!$C$61="","",IFERROR(AR26*Assumptions!$D$61,0))</f>
        <v/>
      </c>
      <c r="AS32" s="269">
        <f>IF(Assumptions!$C$61="","",IFERROR(AS26*Assumptions!$D$61,0))</f>
        <v/>
      </c>
      <c r="AT32" s="269">
        <f>IF(Assumptions!$C$61="","",IFERROR(AT26*Assumptions!$D$61,0))</f>
        <v/>
      </c>
      <c r="AU32" s="269">
        <f>IF(Assumptions!$C$61="","",IFERROR(AU26*Assumptions!$D$61,0))</f>
        <v/>
      </c>
      <c r="AV32" s="269">
        <f>IF(Assumptions!$C$61="","",IFERROR(AV26*Assumptions!$D$61,0))</f>
        <v/>
      </c>
      <c r="AW32" s="269">
        <f>IF(Assumptions!$C$61="","",IFERROR(AW26*Assumptions!$D$61,0))</f>
        <v/>
      </c>
      <c r="AX32" s="269">
        <f>IF(Assumptions!$C$61="","",IFERROR(AX26*Assumptions!$D$61,0))</f>
        <v/>
      </c>
      <c r="AY32" s="269">
        <f>IF(Assumptions!$C$61="","",IFERROR(AY26*Assumptions!$D$61,0))</f>
        <v/>
      </c>
      <c r="AZ32" s="269">
        <f>IF(Assumptions!$C$61="","",IFERROR(AZ26*Assumptions!$D$61,0))</f>
        <v/>
      </c>
      <c r="BA32" s="269">
        <f>SUM(AO32:AZ32)</f>
        <v/>
      </c>
      <c r="BB32" s="269">
        <f>IF(Assumptions!$C$61="","",IFERROR(BB26*Assumptions!$D$61,0))</f>
        <v/>
      </c>
      <c r="BC32" s="269">
        <f>IF(Assumptions!$C$61="","",IFERROR(BC26*Assumptions!$D$61,0))</f>
        <v/>
      </c>
      <c r="BD32" s="269">
        <f>IF(Assumptions!$C$61="","",IFERROR(BD26*Assumptions!$D$61,0))</f>
        <v/>
      </c>
      <c r="BE32" s="269">
        <f>IF(Assumptions!$C$61="","",IFERROR(BE26*Assumptions!$D$61,0))</f>
        <v/>
      </c>
      <c r="BF32" s="269">
        <f>IF(Assumptions!$C$61="","",IFERROR(BF26*Assumptions!$D$61,0))</f>
        <v/>
      </c>
      <c r="BG32" s="269">
        <f>IF(Assumptions!$C$61="","",IFERROR(BG26*Assumptions!$D$61,0))</f>
        <v/>
      </c>
      <c r="BH32" s="269">
        <f>IF(Assumptions!$C$61="","",IFERROR(BH26*Assumptions!$D$61,0))</f>
        <v/>
      </c>
      <c r="BI32" s="269">
        <f>IF(Assumptions!$C$61="","",IFERROR(BI26*Assumptions!$D$61,0))</f>
        <v/>
      </c>
      <c r="BJ32" s="269">
        <f>IF(Assumptions!$C$61="","",IFERROR(BJ26*Assumptions!$D$61,0))</f>
        <v/>
      </c>
      <c r="BK32" s="269">
        <f>IF(Assumptions!$C$61="","",IFERROR(BK26*Assumptions!$D$61,0))</f>
        <v/>
      </c>
      <c r="BL32" s="269">
        <f>IF(Assumptions!$C$61="","",IFERROR(BL26*Assumptions!$D$61,0))</f>
        <v/>
      </c>
      <c r="BM32" s="269">
        <f>IF(Assumptions!$C$61="","",IFERROR(BM26*Assumptions!$D$61,0))</f>
        <v/>
      </c>
      <c r="BN32" s="269">
        <f>SUM(BB32:BM32)</f>
        <v/>
      </c>
    </row>
    <row r="33">
      <c r="A33" s="267">
        <f>IF(Assumptions!$C$62="","",Assumptions!$C$62)</f>
        <v/>
      </c>
      <c r="B33" s="269">
        <f>IF(Assumptions!$C$62="","",IFERROR(B26*Assumptions!$D$62,0))</f>
        <v/>
      </c>
      <c r="C33" s="269">
        <f>IF(Assumptions!$C$62="","",IFERROR(C26*Assumptions!$D$62,0))</f>
        <v/>
      </c>
      <c r="D33" s="269">
        <f>IF(Assumptions!$C$62="","",IFERROR(D26*Assumptions!$D$62,0))</f>
        <v/>
      </c>
      <c r="E33" s="269">
        <f>IF(Assumptions!$C$62="","",IFERROR(E26*Assumptions!$D$62,0))</f>
        <v/>
      </c>
      <c r="F33" s="269">
        <f>IF(Assumptions!$C$62="","",IFERROR(F26*Assumptions!$D$62,0))</f>
        <v/>
      </c>
      <c r="G33" s="269">
        <f>IF(Assumptions!$C$62="","",IFERROR(G26*Assumptions!$D$62,0))</f>
        <v/>
      </c>
      <c r="H33" s="269">
        <f>IF(Assumptions!$C$62="","",IFERROR(H26*Assumptions!$D$62,0))</f>
        <v/>
      </c>
      <c r="I33" s="269">
        <f>IF(Assumptions!$C$62="","",IFERROR(I26*Assumptions!$D$62,0))</f>
        <v/>
      </c>
      <c r="J33" s="269">
        <f>IF(Assumptions!$C$62="","",IFERROR(J26*Assumptions!$D$62,0))</f>
        <v/>
      </c>
      <c r="K33" s="269">
        <f>IF(Assumptions!$C$62="","",IFERROR(K26*Assumptions!$D$62,0))</f>
        <v/>
      </c>
      <c r="L33" s="269">
        <f>IF(Assumptions!$C$62="","",IFERROR(L26*Assumptions!$D$62,0))</f>
        <v/>
      </c>
      <c r="M33" s="269">
        <f>IF(Assumptions!$C$62="","",IFERROR(M26*Assumptions!$D$62,0))</f>
        <v/>
      </c>
      <c r="N33" s="269">
        <f>SUM(B33:M33)</f>
        <v/>
      </c>
      <c r="O33" s="269">
        <f>IF(Assumptions!$C$62="","",IFERROR(O26*Assumptions!$D$62,0))</f>
        <v/>
      </c>
      <c r="P33" s="269">
        <f>IF(Assumptions!$C$62="","",IFERROR(P26*Assumptions!$D$62,0))</f>
        <v/>
      </c>
      <c r="Q33" s="269">
        <f>IF(Assumptions!$C$62="","",IFERROR(Q26*Assumptions!$D$62,0))</f>
        <v/>
      </c>
      <c r="R33" s="269">
        <f>IF(Assumptions!$C$62="","",IFERROR(R26*Assumptions!$D$62,0))</f>
        <v/>
      </c>
      <c r="S33" s="269">
        <f>IF(Assumptions!$C$62="","",IFERROR(S26*Assumptions!$D$62,0))</f>
        <v/>
      </c>
      <c r="T33" s="269">
        <f>IF(Assumptions!$C$62="","",IFERROR(T26*Assumptions!$D$62,0))</f>
        <v/>
      </c>
      <c r="U33" s="269">
        <f>IF(Assumptions!$C$62="","",IFERROR(U26*Assumptions!$D$62,0))</f>
        <v/>
      </c>
      <c r="V33" s="269">
        <f>IF(Assumptions!$C$62="","",IFERROR(V26*Assumptions!$D$62,0))</f>
        <v/>
      </c>
      <c r="W33" s="269">
        <f>IF(Assumptions!$C$62="","",IFERROR(W26*Assumptions!$D$62,0))</f>
        <v/>
      </c>
      <c r="X33" s="269">
        <f>IF(Assumptions!$C$62="","",IFERROR(X26*Assumptions!$D$62,0))</f>
        <v/>
      </c>
      <c r="Y33" s="269">
        <f>IF(Assumptions!$C$62="","",IFERROR(Y26*Assumptions!$D$62,0))</f>
        <v/>
      </c>
      <c r="Z33" s="269">
        <f>IF(Assumptions!$C$62="","",IFERROR(Z26*Assumptions!$D$62,0))</f>
        <v/>
      </c>
      <c r="AA33" s="269">
        <f>SUM(O33:Z33)</f>
        <v/>
      </c>
      <c r="AB33" s="269">
        <f>IF(Assumptions!$C$62="","",IFERROR(AB26*Assumptions!$D$62,0))</f>
        <v/>
      </c>
      <c r="AC33" s="269">
        <f>IF(Assumptions!$C$62="","",IFERROR(AC26*Assumptions!$D$62,0))</f>
        <v/>
      </c>
      <c r="AD33" s="269">
        <f>IF(Assumptions!$C$62="","",IFERROR(AD26*Assumptions!$D$62,0))</f>
        <v/>
      </c>
      <c r="AE33" s="269">
        <f>IF(Assumptions!$C$62="","",IFERROR(AE26*Assumptions!$D$62,0))</f>
        <v/>
      </c>
      <c r="AF33" s="269">
        <f>IF(Assumptions!$C$62="","",IFERROR(AF26*Assumptions!$D$62,0))</f>
        <v/>
      </c>
      <c r="AG33" s="269">
        <f>IF(Assumptions!$C$62="","",IFERROR(AG26*Assumptions!$D$62,0))</f>
        <v/>
      </c>
      <c r="AH33" s="269">
        <f>IF(Assumptions!$C$62="","",IFERROR(AH26*Assumptions!$D$62,0))</f>
        <v/>
      </c>
      <c r="AI33" s="269">
        <f>IF(Assumptions!$C$62="","",IFERROR(AI26*Assumptions!$D$62,0))</f>
        <v/>
      </c>
      <c r="AJ33" s="269">
        <f>IF(Assumptions!$C$62="","",IFERROR(AJ26*Assumptions!$D$62,0))</f>
        <v/>
      </c>
      <c r="AK33" s="269">
        <f>IF(Assumptions!$C$62="","",IFERROR(AK26*Assumptions!$D$62,0))</f>
        <v/>
      </c>
      <c r="AL33" s="269">
        <f>IF(Assumptions!$C$62="","",IFERROR(AL26*Assumptions!$D$62,0))</f>
        <v/>
      </c>
      <c r="AM33" s="269">
        <f>IF(Assumptions!$C$62="","",IFERROR(AM26*Assumptions!$D$62,0))</f>
        <v/>
      </c>
      <c r="AN33" s="269">
        <f>SUM(AB33:AM33)</f>
        <v/>
      </c>
      <c r="AO33" s="269">
        <f>IF(Assumptions!$C$62="","",IFERROR(AO26*Assumptions!$D$62,0))</f>
        <v/>
      </c>
      <c r="AP33" s="269">
        <f>IF(Assumptions!$C$62="","",IFERROR(AP26*Assumptions!$D$62,0))</f>
        <v/>
      </c>
      <c r="AQ33" s="269">
        <f>IF(Assumptions!$C$62="","",IFERROR(AQ26*Assumptions!$D$62,0))</f>
        <v/>
      </c>
      <c r="AR33" s="269">
        <f>IF(Assumptions!$C$62="","",IFERROR(AR26*Assumptions!$D$62,0))</f>
        <v/>
      </c>
      <c r="AS33" s="269">
        <f>IF(Assumptions!$C$62="","",IFERROR(AS26*Assumptions!$D$62,0))</f>
        <v/>
      </c>
      <c r="AT33" s="269">
        <f>IF(Assumptions!$C$62="","",IFERROR(AT26*Assumptions!$D$62,0))</f>
        <v/>
      </c>
      <c r="AU33" s="269">
        <f>IF(Assumptions!$C$62="","",IFERROR(AU26*Assumptions!$D$62,0))</f>
        <v/>
      </c>
      <c r="AV33" s="269">
        <f>IF(Assumptions!$C$62="","",IFERROR(AV26*Assumptions!$D$62,0))</f>
        <v/>
      </c>
      <c r="AW33" s="269">
        <f>IF(Assumptions!$C$62="","",IFERROR(AW26*Assumptions!$D$62,0))</f>
        <v/>
      </c>
      <c r="AX33" s="269">
        <f>IF(Assumptions!$C$62="","",IFERROR(AX26*Assumptions!$D$62,0))</f>
        <v/>
      </c>
      <c r="AY33" s="269">
        <f>IF(Assumptions!$C$62="","",IFERROR(AY26*Assumptions!$D$62,0))</f>
        <v/>
      </c>
      <c r="AZ33" s="269">
        <f>IF(Assumptions!$C$62="","",IFERROR(AZ26*Assumptions!$D$62,0))</f>
        <v/>
      </c>
      <c r="BA33" s="269">
        <f>SUM(AO33:AZ33)</f>
        <v/>
      </c>
      <c r="BB33" s="269">
        <f>IF(Assumptions!$C$62="","",IFERROR(BB26*Assumptions!$D$62,0))</f>
        <v/>
      </c>
      <c r="BC33" s="269">
        <f>IF(Assumptions!$C$62="","",IFERROR(BC26*Assumptions!$D$62,0))</f>
        <v/>
      </c>
      <c r="BD33" s="269">
        <f>IF(Assumptions!$C$62="","",IFERROR(BD26*Assumptions!$D$62,0))</f>
        <v/>
      </c>
      <c r="BE33" s="269">
        <f>IF(Assumptions!$C$62="","",IFERROR(BE26*Assumptions!$D$62,0))</f>
        <v/>
      </c>
      <c r="BF33" s="269">
        <f>IF(Assumptions!$C$62="","",IFERROR(BF26*Assumptions!$D$62,0))</f>
        <v/>
      </c>
      <c r="BG33" s="269">
        <f>IF(Assumptions!$C$62="","",IFERROR(BG26*Assumptions!$D$62,0))</f>
        <v/>
      </c>
      <c r="BH33" s="269">
        <f>IF(Assumptions!$C$62="","",IFERROR(BH26*Assumptions!$D$62,0))</f>
        <v/>
      </c>
      <c r="BI33" s="269">
        <f>IF(Assumptions!$C$62="","",IFERROR(BI26*Assumptions!$D$62,0))</f>
        <v/>
      </c>
      <c r="BJ33" s="269">
        <f>IF(Assumptions!$C$62="","",IFERROR(BJ26*Assumptions!$D$62,0))</f>
        <v/>
      </c>
      <c r="BK33" s="269">
        <f>IF(Assumptions!$C$62="","",IFERROR(BK26*Assumptions!$D$62,0))</f>
        <v/>
      </c>
      <c r="BL33" s="269">
        <f>IF(Assumptions!$C$62="","",IFERROR(BL26*Assumptions!$D$62,0))</f>
        <v/>
      </c>
      <c r="BM33" s="269">
        <f>IF(Assumptions!$C$62="","",IFERROR(BM26*Assumptions!$D$62,0))</f>
        <v/>
      </c>
      <c r="BN33" s="269">
        <f>SUM(BB33:BM33)</f>
        <v/>
      </c>
    </row>
    <row r="34">
      <c r="A34" s="277" t="inlineStr">
        <is>
          <t>Total (ties to TOTAL REVENUE)</t>
        </is>
      </c>
      <c r="B34" s="278">
        <f>SUM(B29:B33)</f>
        <v/>
      </c>
      <c r="C34" s="278">
        <f>SUM(C29:C33)</f>
        <v/>
      </c>
      <c r="D34" s="278">
        <f>SUM(D29:D33)</f>
        <v/>
      </c>
      <c r="E34" s="278">
        <f>SUM(E29:E33)</f>
        <v/>
      </c>
      <c r="F34" s="278">
        <f>SUM(F29:F33)</f>
        <v/>
      </c>
      <c r="G34" s="278">
        <f>SUM(G29:G33)</f>
        <v/>
      </c>
      <c r="H34" s="278">
        <f>SUM(H29:H33)</f>
        <v/>
      </c>
      <c r="I34" s="278">
        <f>SUM(I29:I33)</f>
        <v/>
      </c>
      <c r="J34" s="278">
        <f>SUM(J29:J33)</f>
        <v/>
      </c>
      <c r="K34" s="278">
        <f>SUM(K29:K33)</f>
        <v/>
      </c>
      <c r="L34" s="278">
        <f>SUM(L29:L33)</f>
        <v/>
      </c>
      <c r="M34" s="278">
        <f>SUM(M29:M33)</f>
        <v/>
      </c>
      <c r="N34" s="278">
        <f>SUM(B34:M34)</f>
        <v/>
      </c>
      <c r="O34" s="278">
        <f>SUM(O29:O33)</f>
        <v/>
      </c>
      <c r="P34" s="278">
        <f>SUM(P29:P33)</f>
        <v/>
      </c>
      <c r="Q34" s="278">
        <f>SUM(Q29:Q33)</f>
        <v/>
      </c>
      <c r="R34" s="278">
        <f>SUM(R29:R33)</f>
        <v/>
      </c>
      <c r="S34" s="278">
        <f>SUM(S29:S33)</f>
        <v/>
      </c>
      <c r="T34" s="278">
        <f>SUM(T29:T33)</f>
        <v/>
      </c>
      <c r="U34" s="278">
        <f>SUM(U29:U33)</f>
        <v/>
      </c>
      <c r="V34" s="278">
        <f>SUM(V29:V33)</f>
        <v/>
      </c>
      <c r="W34" s="278">
        <f>SUM(W29:W33)</f>
        <v/>
      </c>
      <c r="X34" s="278">
        <f>SUM(X29:X33)</f>
        <v/>
      </c>
      <c r="Y34" s="278">
        <f>SUM(Y29:Y33)</f>
        <v/>
      </c>
      <c r="Z34" s="278">
        <f>SUM(Z29:Z33)</f>
        <v/>
      </c>
      <c r="AA34" s="278">
        <f>SUM(O34:Z34)</f>
        <v/>
      </c>
      <c r="AB34" s="278">
        <f>SUM(AB29:AB33)</f>
        <v/>
      </c>
      <c r="AC34" s="278">
        <f>SUM(AC29:AC33)</f>
        <v/>
      </c>
      <c r="AD34" s="278">
        <f>SUM(AD29:AD33)</f>
        <v/>
      </c>
      <c r="AE34" s="278">
        <f>SUM(AE29:AE33)</f>
        <v/>
      </c>
      <c r="AF34" s="278">
        <f>SUM(AF29:AF33)</f>
        <v/>
      </c>
      <c r="AG34" s="278">
        <f>SUM(AG29:AG33)</f>
        <v/>
      </c>
      <c r="AH34" s="278">
        <f>SUM(AH29:AH33)</f>
        <v/>
      </c>
      <c r="AI34" s="278">
        <f>SUM(AI29:AI33)</f>
        <v/>
      </c>
      <c r="AJ34" s="278">
        <f>SUM(AJ29:AJ33)</f>
        <v/>
      </c>
      <c r="AK34" s="278">
        <f>SUM(AK29:AK33)</f>
        <v/>
      </c>
      <c r="AL34" s="278">
        <f>SUM(AL29:AL33)</f>
        <v/>
      </c>
      <c r="AM34" s="278">
        <f>SUM(AM29:AM33)</f>
        <v/>
      </c>
      <c r="AN34" s="278">
        <f>SUM(AB34:AM34)</f>
        <v/>
      </c>
      <c r="AO34" s="278">
        <f>SUM(AO29:AO33)</f>
        <v/>
      </c>
      <c r="AP34" s="278">
        <f>SUM(AP29:AP33)</f>
        <v/>
      </c>
      <c r="AQ34" s="278">
        <f>SUM(AQ29:AQ33)</f>
        <v/>
      </c>
      <c r="AR34" s="278">
        <f>SUM(AR29:AR33)</f>
        <v/>
      </c>
      <c r="AS34" s="278">
        <f>SUM(AS29:AS33)</f>
        <v/>
      </c>
      <c r="AT34" s="278">
        <f>SUM(AT29:AT33)</f>
        <v/>
      </c>
      <c r="AU34" s="278">
        <f>SUM(AU29:AU33)</f>
        <v/>
      </c>
      <c r="AV34" s="278">
        <f>SUM(AV29:AV33)</f>
        <v/>
      </c>
      <c r="AW34" s="278">
        <f>SUM(AW29:AW33)</f>
        <v/>
      </c>
      <c r="AX34" s="278">
        <f>SUM(AX29:AX33)</f>
        <v/>
      </c>
      <c r="AY34" s="278">
        <f>SUM(AY29:AY33)</f>
        <v/>
      </c>
      <c r="AZ34" s="278">
        <f>SUM(AZ29:AZ33)</f>
        <v/>
      </c>
      <c r="BA34" s="278">
        <f>SUM(AO34:AZ34)</f>
        <v/>
      </c>
      <c r="BB34" s="278">
        <f>SUM(BB29:BB33)</f>
        <v/>
      </c>
      <c r="BC34" s="278">
        <f>SUM(BC29:BC33)</f>
        <v/>
      </c>
      <c r="BD34" s="278">
        <f>SUM(BD29:BD33)</f>
        <v/>
      </c>
      <c r="BE34" s="278">
        <f>SUM(BE29:BE33)</f>
        <v/>
      </c>
      <c r="BF34" s="278">
        <f>SUM(BF29:BF33)</f>
        <v/>
      </c>
      <c r="BG34" s="278">
        <f>SUM(BG29:BG33)</f>
        <v/>
      </c>
      <c r="BH34" s="278">
        <f>SUM(BH29:BH33)</f>
        <v/>
      </c>
      <c r="BI34" s="278">
        <f>SUM(BI29:BI33)</f>
        <v/>
      </c>
      <c r="BJ34" s="278">
        <f>SUM(BJ29:BJ33)</f>
        <v/>
      </c>
      <c r="BK34" s="278">
        <f>SUM(BK29:BK33)</f>
        <v/>
      </c>
      <c r="BL34" s="278">
        <f>SUM(BL29:BL33)</f>
        <v/>
      </c>
      <c r="BM34" s="278">
        <f>SUM(BM29:BM33)</f>
        <v/>
      </c>
      <c r="BN34" s="278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services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Room-nights revenue</t>
        </is>
      </c>
      <c r="B5" s="279">
        <f>'Revenue Build-Up'!B8</f>
        <v/>
      </c>
      <c r="C5" s="279">
        <f>'Revenue Build-Up'!C8</f>
        <v/>
      </c>
      <c r="D5" s="279">
        <f>'Revenue Build-Up'!D8</f>
        <v/>
      </c>
      <c r="E5" s="279">
        <f>'Revenue Build-Up'!E8</f>
        <v/>
      </c>
      <c r="F5" s="279">
        <f>'Revenue Build-Up'!F8</f>
        <v/>
      </c>
      <c r="G5" s="279">
        <f>'Revenue Build-Up'!G8</f>
        <v/>
      </c>
      <c r="H5" s="279">
        <f>'Revenue Build-Up'!H8</f>
        <v/>
      </c>
      <c r="I5" s="279">
        <f>'Revenue Build-Up'!I8</f>
        <v/>
      </c>
      <c r="J5" s="279">
        <f>'Revenue Build-Up'!J8</f>
        <v/>
      </c>
      <c r="K5" s="279">
        <f>'Revenue Build-Up'!K8</f>
        <v/>
      </c>
      <c r="L5" s="279">
        <f>'Revenue Build-Up'!L8</f>
        <v/>
      </c>
      <c r="M5" s="279">
        <f>'Revenue Build-Up'!M8</f>
        <v/>
      </c>
      <c r="N5" s="279">
        <f>SUM(B5:M5)</f>
        <v/>
      </c>
      <c r="O5" s="279">
        <f>'Revenue Build-Up'!O8</f>
        <v/>
      </c>
      <c r="P5" s="279">
        <f>'Revenue Build-Up'!P8</f>
        <v/>
      </c>
      <c r="Q5" s="279">
        <f>'Revenue Build-Up'!Q8</f>
        <v/>
      </c>
      <c r="R5" s="279">
        <f>'Revenue Build-Up'!R8</f>
        <v/>
      </c>
      <c r="S5" s="279">
        <f>'Revenue Build-Up'!S8</f>
        <v/>
      </c>
      <c r="T5" s="279">
        <f>'Revenue Build-Up'!T8</f>
        <v/>
      </c>
      <c r="U5" s="279">
        <f>'Revenue Build-Up'!U8</f>
        <v/>
      </c>
      <c r="V5" s="279">
        <f>'Revenue Build-Up'!V8</f>
        <v/>
      </c>
      <c r="W5" s="279">
        <f>'Revenue Build-Up'!W8</f>
        <v/>
      </c>
      <c r="X5" s="279">
        <f>'Revenue Build-Up'!X8</f>
        <v/>
      </c>
      <c r="Y5" s="279">
        <f>'Revenue Build-Up'!Y8</f>
        <v/>
      </c>
      <c r="Z5" s="279">
        <f>'Revenue Build-Up'!Z8</f>
        <v/>
      </c>
      <c r="AA5" s="279">
        <f>SUM(O5:Z5)</f>
        <v/>
      </c>
      <c r="AB5" s="279">
        <f>'Revenue Build-Up'!AB8</f>
        <v/>
      </c>
      <c r="AC5" s="279">
        <f>'Revenue Build-Up'!AC8</f>
        <v/>
      </c>
      <c r="AD5" s="279">
        <f>'Revenue Build-Up'!AD8</f>
        <v/>
      </c>
      <c r="AE5" s="279">
        <f>'Revenue Build-Up'!AE8</f>
        <v/>
      </c>
      <c r="AF5" s="279">
        <f>'Revenue Build-Up'!AF8</f>
        <v/>
      </c>
      <c r="AG5" s="279">
        <f>'Revenue Build-Up'!AG8</f>
        <v/>
      </c>
      <c r="AH5" s="279">
        <f>'Revenue Build-Up'!AH8</f>
        <v/>
      </c>
      <c r="AI5" s="279">
        <f>'Revenue Build-Up'!AI8</f>
        <v/>
      </c>
      <c r="AJ5" s="279">
        <f>'Revenue Build-Up'!AJ8</f>
        <v/>
      </c>
      <c r="AK5" s="279">
        <f>'Revenue Build-Up'!AK8</f>
        <v/>
      </c>
      <c r="AL5" s="279">
        <f>'Revenue Build-Up'!AL8</f>
        <v/>
      </c>
      <c r="AM5" s="279">
        <f>'Revenue Build-Up'!AM8</f>
        <v/>
      </c>
      <c r="AN5" s="279">
        <f>SUM(AB5:AM5)</f>
        <v/>
      </c>
      <c r="AO5" s="279">
        <f>'Revenue Build-Up'!AO8</f>
        <v/>
      </c>
      <c r="AP5" s="279">
        <f>'Revenue Build-Up'!AP8</f>
        <v/>
      </c>
      <c r="AQ5" s="279">
        <f>'Revenue Build-Up'!AQ8</f>
        <v/>
      </c>
      <c r="AR5" s="279">
        <f>'Revenue Build-Up'!AR8</f>
        <v/>
      </c>
      <c r="AS5" s="279">
        <f>'Revenue Build-Up'!AS8</f>
        <v/>
      </c>
      <c r="AT5" s="279">
        <f>'Revenue Build-Up'!AT8</f>
        <v/>
      </c>
      <c r="AU5" s="279">
        <f>'Revenue Build-Up'!AU8</f>
        <v/>
      </c>
      <c r="AV5" s="279">
        <f>'Revenue Build-Up'!AV8</f>
        <v/>
      </c>
      <c r="AW5" s="279">
        <f>'Revenue Build-Up'!AW8</f>
        <v/>
      </c>
      <c r="AX5" s="279">
        <f>'Revenue Build-Up'!AX8</f>
        <v/>
      </c>
      <c r="AY5" s="279">
        <f>'Revenue Build-Up'!AY8</f>
        <v/>
      </c>
      <c r="AZ5" s="279">
        <f>'Revenue Build-Up'!AZ8</f>
        <v/>
      </c>
      <c r="BA5" s="279">
        <f>SUM(AO5:AZ5)</f>
        <v/>
      </c>
      <c r="BB5" s="279">
        <f>'Revenue Build-Up'!BB8</f>
        <v/>
      </c>
      <c r="BC5" s="279">
        <f>'Revenue Build-Up'!BC8</f>
        <v/>
      </c>
      <c r="BD5" s="279">
        <f>'Revenue Build-Up'!BD8</f>
        <v/>
      </c>
      <c r="BE5" s="279">
        <f>'Revenue Build-Up'!BE8</f>
        <v/>
      </c>
      <c r="BF5" s="279">
        <f>'Revenue Build-Up'!BF8</f>
        <v/>
      </c>
      <c r="BG5" s="279">
        <f>'Revenue Build-Up'!BG8</f>
        <v/>
      </c>
      <c r="BH5" s="279">
        <f>'Revenue Build-Up'!BH8</f>
        <v/>
      </c>
      <c r="BI5" s="279">
        <f>'Revenue Build-Up'!BI8</f>
        <v/>
      </c>
      <c r="BJ5" s="279">
        <f>'Revenue Build-Up'!BJ8</f>
        <v/>
      </c>
      <c r="BK5" s="279">
        <f>'Revenue Build-Up'!BK8</f>
        <v/>
      </c>
      <c r="BL5" s="279">
        <f>'Revenue Build-Up'!BL8</f>
        <v/>
      </c>
      <c r="BM5" s="279">
        <f>'Revenue Build-Up'!BM8</f>
        <v/>
      </c>
      <c r="BN5" s="279">
        <f>SUM(BB5:BM5)</f>
        <v/>
      </c>
    </row>
    <row r="6" ht="15" customHeight="1" s="82">
      <c r="A6" s="137" t="inlineStr">
        <is>
          <t>Food &amp; Beverage / Restaurant</t>
        </is>
      </c>
      <c r="B6" s="279">
        <f>'Revenue Build-Up'!B12</f>
        <v/>
      </c>
      <c r="C6" s="279">
        <f>'Revenue Build-Up'!C12</f>
        <v/>
      </c>
      <c r="D6" s="279">
        <f>'Revenue Build-Up'!D12</f>
        <v/>
      </c>
      <c r="E6" s="279">
        <f>'Revenue Build-Up'!E12</f>
        <v/>
      </c>
      <c r="F6" s="279">
        <f>'Revenue Build-Up'!F12</f>
        <v/>
      </c>
      <c r="G6" s="279">
        <f>'Revenue Build-Up'!G12</f>
        <v/>
      </c>
      <c r="H6" s="279">
        <f>'Revenue Build-Up'!H12</f>
        <v/>
      </c>
      <c r="I6" s="279">
        <f>'Revenue Build-Up'!I12</f>
        <v/>
      </c>
      <c r="J6" s="279">
        <f>'Revenue Build-Up'!J12</f>
        <v/>
      </c>
      <c r="K6" s="279">
        <f>'Revenue Build-Up'!K12</f>
        <v/>
      </c>
      <c r="L6" s="279">
        <f>'Revenue Build-Up'!L12</f>
        <v/>
      </c>
      <c r="M6" s="279">
        <f>'Revenue Build-Up'!M12</f>
        <v/>
      </c>
      <c r="N6" s="279">
        <f>SUM(B6:M6)</f>
        <v/>
      </c>
      <c r="O6" s="279">
        <f>'Revenue Build-Up'!O12</f>
        <v/>
      </c>
      <c r="P6" s="279">
        <f>'Revenue Build-Up'!P12</f>
        <v/>
      </c>
      <c r="Q6" s="279">
        <f>'Revenue Build-Up'!Q12</f>
        <v/>
      </c>
      <c r="R6" s="279">
        <f>'Revenue Build-Up'!R12</f>
        <v/>
      </c>
      <c r="S6" s="279">
        <f>'Revenue Build-Up'!S12</f>
        <v/>
      </c>
      <c r="T6" s="279">
        <f>'Revenue Build-Up'!T12</f>
        <v/>
      </c>
      <c r="U6" s="279">
        <f>'Revenue Build-Up'!U12</f>
        <v/>
      </c>
      <c r="V6" s="279">
        <f>'Revenue Build-Up'!V12</f>
        <v/>
      </c>
      <c r="W6" s="279">
        <f>'Revenue Build-Up'!W12</f>
        <v/>
      </c>
      <c r="X6" s="279">
        <f>'Revenue Build-Up'!X12</f>
        <v/>
      </c>
      <c r="Y6" s="279">
        <f>'Revenue Build-Up'!Y12</f>
        <v/>
      </c>
      <c r="Z6" s="279">
        <f>'Revenue Build-Up'!Z12</f>
        <v/>
      </c>
      <c r="AA6" s="279">
        <f>SUM(O6:Z6)</f>
        <v/>
      </c>
      <c r="AB6" s="279">
        <f>'Revenue Build-Up'!AB12</f>
        <v/>
      </c>
      <c r="AC6" s="279">
        <f>'Revenue Build-Up'!AC12</f>
        <v/>
      </c>
      <c r="AD6" s="279">
        <f>'Revenue Build-Up'!AD12</f>
        <v/>
      </c>
      <c r="AE6" s="279">
        <f>'Revenue Build-Up'!AE12</f>
        <v/>
      </c>
      <c r="AF6" s="279">
        <f>'Revenue Build-Up'!AF12</f>
        <v/>
      </c>
      <c r="AG6" s="279">
        <f>'Revenue Build-Up'!AG12</f>
        <v/>
      </c>
      <c r="AH6" s="279">
        <f>'Revenue Build-Up'!AH12</f>
        <v/>
      </c>
      <c r="AI6" s="279">
        <f>'Revenue Build-Up'!AI12</f>
        <v/>
      </c>
      <c r="AJ6" s="279">
        <f>'Revenue Build-Up'!AJ12</f>
        <v/>
      </c>
      <c r="AK6" s="279">
        <f>'Revenue Build-Up'!AK12</f>
        <v/>
      </c>
      <c r="AL6" s="279">
        <f>'Revenue Build-Up'!AL12</f>
        <v/>
      </c>
      <c r="AM6" s="279">
        <f>'Revenue Build-Up'!AM12</f>
        <v/>
      </c>
      <c r="AN6" s="279">
        <f>SUM(AB6:AM6)</f>
        <v/>
      </c>
      <c r="AO6" s="279">
        <f>'Revenue Build-Up'!AO12</f>
        <v/>
      </c>
      <c r="AP6" s="279">
        <f>'Revenue Build-Up'!AP12</f>
        <v/>
      </c>
      <c r="AQ6" s="279">
        <f>'Revenue Build-Up'!AQ12</f>
        <v/>
      </c>
      <c r="AR6" s="279">
        <f>'Revenue Build-Up'!AR12</f>
        <v/>
      </c>
      <c r="AS6" s="279">
        <f>'Revenue Build-Up'!AS12</f>
        <v/>
      </c>
      <c r="AT6" s="279">
        <f>'Revenue Build-Up'!AT12</f>
        <v/>
      </c>
      <c r="AU6" s="279">
        <f>'Revenue Build-Up'!AU12</f>
        <v/>
      </c>
      <c r="AV6" s="279">
        <f>'Revenue Build-Up'!AV12</f>
        <v/>
      </c>
      <c r="AW6" s="279">
        <f>'Revenue Build-Up'!AW12</f>
        <v/>
      </c>
      <c r="AX6" s="279">
        <f>'Revenue Build-Up'!AX12</f>
        <v/>
      </c>
      <c r="AY6" s="279">
        <f>'Revenue Build-Up'!AY12</f>
        <v/>
      </c>
      <c r="AZ6" s="279">
        <f>'Revenue Build-Up'!AZ12</f>
        <v/>
      </c>
      <c r="BA6" s="279">
        <f>SUM(AO6:AZ6)</f>
        <v/>
      </c>
      <c r="BB6" s="279">
        <f>'Revenue Build-Up'!BB12</f>
        <v/>
      </c>
      <c r="BC6" s="279">
        <f>'Revenue Build-Up'!BC12</f>
        <v/>
      </c>
      <c r="BD6" s="279">
        <f>'Revenue Build-Up'!BD12</f>
        <v/>
      </c>
      <c r="BE6" s="279">
        <f>'Revenue Build-Up'!BE12</f>
        <v/>
      </c>
      <c r="BF6" s="279">
        <f>'Revenue Build-Up'!BF12</f>
        <v/>
      </c>
      <c r="BG6" s="279">
        <f>'Revenue Build-Up'!BG12</f>
        <v/>
      </c>
      <c r="BH6" s="279">
        <f>'Revenue Build-Up'!BH12</f>
        <v/>
      </c>
      <c r="BI6" s="279">
        <f>'Revenue Build-Up'!BI12</f>
        <v/>
      </c>
      <c r="BJ6" s="279">
        <f>'Revenue Build-Up'!BJ12</f>
        <v/>
      </c>
      <c r="BK6" s="279">
        <f>'Revenue Build-Up'!BK12</f>
        <v/>
      </c>
      <c r="BL6" s="279">
        <f>'Revenue Build-Up'!BL12</f>
        <v/>
      </c>
      <c r="BM6" s="279">
        <f>'Revenue Build-Up'!BM12</f>
        <v/>
      </c>
      <c r="BN6" s="279">
        <f>SUM(BB6:BM6)</f>
        <v/>
      </c>
    </row>
    <row r="7" ht="15" customHeight="1" s="82">
      <c r="A7" s="137" t="inlineStr">
        <is>
          <t>Conference / Banquet hall</t>
        </is>
      </c>
      <c r="B7" s="279">
        <f>'Revenue Build-Up'!B16</f>
        <v/>
      </c>
      <c r="C7" s="279">
        <f>'Revenue Build-Up'!C16</f>
        <v/>
      </c>
      <c r="D7" s="279">
        <f>'Revenue Build-Up'!D16</f>
        <v/>
      </c>
      <c r="E7" s="279">
        <f>'Revenue Build-Up'!E16</f>
        <v/>
      </c>
      <c r="F7" s="279">
        <f>'Revenue Build-Up'!F16</f>
        <v/>
      </c>
      <c r="G7" s="279">
        <f>'Revenue Build-Up'!G16</f>
        <v/>
      </c>
      <c r="H7" s="279">
        <f>'Revenue Build-Up'!H16</f>
        <v/>
      </c>
      <c r="I7" s="279">
        <f>'Revenue Build-Up'!I16</f>
        <v/>
      </c>
      <c r="J7" s="279">
        <f>'Revenue Build-Up'!J16</f>
        <v/>
      </c>
      <c r="K7" s="279">
        <f>'Revenue Build-Up'!K16</f>
        <v/>
      </c>
      <c r="L7" s="279">
        <f>'Revenue Build-Up'!L16</f>
        <v/>
      </c>
      <c r="M7" s="279">
        <f>'Revenue Build-Up'!M16</f>
        <v/>
      </c>
      <c r="N7" s="279">
        <f>SUM(B7:M7)</f>
        <v/>
      </c>
      <c r="O7" s="279">
        <f>'Revenue Build-Up'!O16</f>
        <v/>
      </c>
      <c r="P7" s="279">
        <f>'Revenue Build-Up'!P16</f>
        <v/>
      </c>
      <c r="Q7" s="279">
        <f>'Revenue Build-Up'!Q16</f>
        <v/>
      </c>
      <c r="R7" s="279">
        <f>'Revenue Build-Up'!R16</f>
        <v/>
      </c>
      <c r="S7" s="279">
        <f>'Revenue Build-Up'!S16</f>
        <v/>
      </c>
      <c r="T7" s="279">
        <f>'Revenue Build-Up'!T16</f>
        <v/>
      </c>
      <c r="U7" s="279">
        <f>'Revenue Build-Up'!U16</f>
        <v/>
      </c>
      <c r="V7" s="279">
        <f>'Revenue Build-Up'!V16</f>
        <v/>
      </c>
      <c r="W7" s="279">
        <f>'Revenue Build-Up'!W16</f>
        <v/>
      </c>
      <c r="X7" s="279">
        <f>'Revenue Build-Up'!X16</f>
        <v/>
      </c>
      <c r="Y7" s="279">
        <f>'Revenue Build-Up'!Y16</f>
        <v/>
      </c>
      <c r="Z7" s="279">
        <f>'Revenue Build-Up'!Z16</f>
        <v/>
      </c>
      <c r="AA7" s="279">
        <f>SUM(O7:Z7)</f>
        <v/>
      </c>
      <c r="AB7" s="279">
        <f>'Revenue Build-Up'!AB16</f>
        <v/>
      </c>
      <c r="AC7" s="279">
        <f>'Revenue Build-Up'!AC16</f>
        <v/>
      </c>
      <c r="AD7" s="279">
        <f>'Revenue Build-Up'!AD16</f>
        <v/>
      </c>
      <c r="AE7" s="279">
        <f>'Revenue Build-Up'!AE16</f>
        <v/>
      </c>
      <c r="AF7" s="279">
        <f>'Revenue Build-Up'!AF16</f>
        <v/>
      </c>
      <c r="AG7" s="279">
        <f>'Revenue Build-Up'!AG16</f>
        <v/>
      </c>
      <c r="AH7" s="279">
        <f>'Revenue Build-Up'!AH16</f>
        <v/>
      </c>
      <c r="AI7" s="279">
        <f>'Revenue Build-Up'!AI16</f>
        <v/>
      </c>
      <c r="AJ7" s="279">
        <f>'Revenue Build-Up'!AJ16</f>
        <v/>
      </c>
      <c r="AK7" s="279">
        <f>'Revenue Build-Up'!AK16</f>
        <v/>
      </c>
      <c r="AL7" s="279">
        <f>'Revenue Build-Up'!AL16</f>
        <v/>
      </c>
      <c r="AM7" s="279">
        <f>'Revenue Build-Up'!AM16</f>
        <v/>
      </c>
      <c r="AN7" s="279">
        <f>SUM(AB7:AM7)</f>
        <v/>
      </c>
      <c r="AO7" s="279">
        <f>'Revenue Build-Up'!AO16</f>
        <v/>
      </c>
      <c r="AP7" s="279">
        <f>'Revenue Build-Up'!AP16</f>
        <v/>
      </c>
      <c r="AQ7" s="279">
        <f>'Revenue Build-Up'!AQ16</f>
        <v/>
      </c>
      <c r="AR7" s="279">
        <f>'Revenue Build-Up'!AR16</f>
        <v/>
      </c>
      <c r="AS7" s="279">
        <f>'Revenue Build-Up'!AS16</f>
        <v/>
      </c>
      <c r="AT7" s="279">
        <f>'Revenue Build-Up'!AT16</f>
        <v/>
      </c>
      <c r="AU7" s="279">
        <f>'Revenue Build-Up'!AU16</f>
        <v/>
      </c>
      <c r="AV7" s="279">
        <f>'Revenue Build-Up'!AV16</f>
        <v/>
      </c>
      <c r="AW7" s="279">
        <f>'Revenue Build-Up'!AW16</f>
        <v/>
      </c>
      <c r="AX7" s="279">
        <f>'Revenue Build-Up'!AX16</f>
        <v/>
      </c>
      <c r="AY7" s="279">
        <f>'Revenue Build-Up'!AY16</f>
        <v/>
      </c>
      <c r="AZ7" s="279">
        <f>'Revenue Build-Up'!AZ16</f>
        <v/>
      </c>
      <c r="BA7" s="279">
        <f>SUM(AO7:AZ7)</f>
        <v/>
      </c>
      <c r="BB7" s="279">
        <f>'Revenue Build-Up'!BB16</f>
        <v/>
      </c>
      <c r="BC7" s="279">
        <f>'Revenue Build-Up'!BC16</f>
        <v/>
      </c>
      <c r="BD7" s="279">
        <f>'Revenue Build-Up'!BD16</f>
        <v/>
      </c>
      <c r="BE7" s="279">
        <f>'Revenue Build-Up'!BE16</f>
        <v/>
      </c>
      <c r="BF7" s="279">
        <f>'Revenue Build-Up'!BF16</f>
        <v/>
      </c>
      <c r="BG7" s="279">
        <f>'Revenue Build-Up'!BG16</f>
        <v/>
      </c>
      <c r="BH7" s="279">
        <f>'Revenue Build-Up'!BH16</f>
        <v/>
      </c>
      <c r="BI7" s="279">
        <f>'Revenue Build-Up'!BI16</f>
        <v/>
      </c>
      <c r="BJ7" s="279">
        <f>'Revenue Build-Up'!BJ16</f>
        <v/>
      </c>
      <c r="BK7" s="279">
        <f>'Revenue Build-Up'!BK16</f>
        <v/>
      </c>
      <c r="BL7" s="279">
        <f>'Revenue Build-Up'!BL16</f>
        <v/>
      </c>
      <c r="BM7" s="279">
        <f>'Revenue Build-Up'!BM16</f>
        <v/>
      </c>
      <c r="BN7" s="279">
        <f>SUM(BB7:BM7)</f>
        <v/>
      </c>
    </row>
    <row r="8" ht="15" customHeight="1" s="82">
      <c r="A8" s="137" t="inlineStr">
        <is>
          <t>Weddings / Events</t>
        </is>
      </c>
      <c r="B8" s="279">
        <f>'Revenue Build-Up'!B20</f>
        <v/>
      </c>
      <c r="C8" s="279">
        <f>'Revenue Build-Up'!C20</f>
        <v/>
      </c>
      <c r="D8" s="279">
        <f>'Revenue Build-Up'!D20</f>
        <v/>
      </c>
      <c r="E8" s="279">
        <f>'Revenue Build-Up'!E20</f>
        <v/>
      </c>
      <c r="F8" s="279">
        <f>'Revenue Build-Up'!F20</f>
        <v/>
      </c>
      <c r="G8" s="279">
        <f>'Revenue Build-Up'!G20</f>
        <v/>
      </c>
      <c r="H8" s="279">
        <f>'Revenue Build-Up'!H20</f>
        <v/>
      </c>
      <c r="I8" s="279">
        <f>'Revenue Build-Up'!I20</f>
        <v/>
      </c>
      <c r="J8" s="279">
        <f>'Revenue Build-Up'!J20</f>
        <v/>
      </c>
      <c r="K8" s="279">
        <f>'Revenue Build-Up'!K20</f>
        <v/>
      </c>
      <c r="L8" s="279">
        <f>'Revenue Build-Up'!L20</f>
        <v/>
      </c>
      <c r="M8" s="279">
        <f>'Revenue Build-Up'!M20</f>
        <v/>
      </c>
      <c r="N8" s="279">
        <f>SUM(B8:M8)</f>
        <v/>
      </c>
      <c r="O8" s="279">
        <f>'Revenue Build-Up'!O20</f>
        <v/>
      </c>
      <c r="P8" s="279">
        <f>'Revenue Build-Up'!P20</f>
        <v/>
      </c>
      <c r="Q8" s="279">
        <f>'Revenue Build-Up'!Q20</f>
        <v/>
      </c>
      <c r="R8" s="279">
        <f>'Revenue Build-Up'!R20</f>
        <v/>
      </c>
      <c r="S8" s="279">
        <f>'Revenue Build-Up'!S20</f>
        <v/>
      </c>
      <c r="T8" s="279">
        <f>'Revenue Build-Up'!T20</f>
        <v/>
      </c>
      <c r="U8" s="279">
        <f>'Revenue Build-Up'!U20</f>
        <v/>
      </c>
      <c r="V8" s="279">
        <f>'Revenue Build-Up'!V20</f>
        <v/>
      </c>
      <c r="W8" s="279">
        <f>'Revenue Build-Up'!W20</f>
        <v/>
      </c>
      <c r="X8" s="279">
        <f>'Revenue Build-Up'!X20</f>
        <v/>
      </c>
      <c r="Y8" s="279">
        <f>'Revenue Build-Up'!Y20</f>
        <v/>
      </c>
      <c r="Z8" s="279">
        <f>'Revenue Build-Up'!Z20</f>
        <v/>
      </c>
      <c r="AA8" s="279">
        <f>SUM(O8:Z8)</f>
        <v/>
      </c>
      <c r="AB8" s="279">
        <f>'Revenue Build-Up'!AB20</f>
        <v/>
      </c>
      <c r="AC8" s="279">
        <f>'Revenue Build-Up'!AC20</f>
        <v/>
      </c>
      <c r="AD8" s="279">
        <f>'Revenue Build-Up'!AD20</f>
        <v/>
      </c>
      <c r="AE8" s="279">
        <f>'Revenue Build-Up'!AE20</f>
        <v/>
      </c>
      <c r="AF8" s="279">
        <f>'Revenue Build-Up'!AF20</f>
        <v/>
      </c>
      <c r="AG8" s="279">
        <f>'Revenue Build-Up'!AG20</f>
        <v/>
      </c>
      <c r="AH8" s="279">
        <f>'Revenue Build-Up'!AH20</f>
        <v/>
      </c>
      <c r="AI8" s="279">
        <f>'Revenue Build-Up'!AI20</f>
        <v/>
      </c>
      <c r="AJ8" s="279">
        <f>'Revenue Build-Up'!AJ20</f>
        <v/>
      </c>
      <c r="AK8" s="279">
        <f>'Revenue Build-Up'!AK20</f>
        <v/>
      </c>
      <c r="AL8" s="279">
        <f>'Revenue Build-Up'!AL20</f>
        <v/>
      </c>
      <c r="AM8" s="279">
        <f>'Revenue Build-Up'!AM20</f>
        <v/>
      </c>
      <c r="AN8" s="279">
        <f>SUM(AB8:AM8)</f>
        <v/>
      </c>
      <c r="AO8" s="279">
        <f>'Revenue Build-Up'!AO20</f>
        <v/>
      </c>
      <c r="AP8" s="279">
        <f>'Revenue Build-Up'!AP20</f>
        <v/>
      </c>
      <c r="AQ8" s="279">
        <f>'Revenue Build-Up'!AQ20</f>
        <v/>
      </c>
      <c r="AR8" s="279">
        <f>'Revenue Build-Up'!AR20</f>
        <v/>
      </c>
      <c r="AS8" s="279">
        <f>'Revenue Build-Up'!AS20</f>
        <v/>
      </c>
      <c r="AT8" s="279">
        <f>'Revenue Build-Up'!AT20</f>
        <v/>
      </c>
      <c r="AU8" s="279">
        <f>'Revenue Build-Up'!AU20</f>
        <v/>
      </c>
      <c r="AV8" s="279">
        <f>'Revenue Build-Up'!AV20</f>
        <v/>
      </c>
      <c r="AW8" s="279">
        <f>'Revenue Build-Up'!AW20</f>
        <v/>
      </c>
      <c r="AX8" s="279">
        <f>'Revenue Build-Up'!AX20</f>
        <v/>
      </c>
      <c r="AY8" s="279">
        <f>'Revenue Build-Up'!AY20</f>
        <v/>
      </c>
      <c r="AZ8" s="279">
        <f>'Revenue Build-Up'!AZ20</f>
        <v/>
      </c>
      <c r="BA8" s="279">
        <f>SUM(AO8:AZ8)</f>
        <v/>
      </c>
      <c r="BB8" s="279">
        <f>'Revenue Build-Up'!BB20</f>
        <v/>
      </c>
      <c r="BC8" s="279">
        <f>'Revenue Build-Up'!BC20</f>
        <v/>
      </c>
      <c r="BD8" s="279">
        <f>'Revenue Build-Up'!BD20</f>
        <v/>
      </c>
      <c r="BE8" s="279">
        <f>'Revenue Build-Up'!BE20</f>
        <v/>
      </c>
      <c r="BF8" s="279">
        <f>'Revenue Build-Up'!BF20</f>
        <v/>
      </c>
      <c r="BG8" s="279">
        <f>'Revenue Build-Up'!BG20</f>
        <v/>
      </c>
      <c r="BH8" s="279">
        <f>'Revenue Build-Up'!BH20</f>
        <v/>
      </c>
      <c r="BI8" s="279">
        <f>'Revenue Build-Up'!BI20</f>
        <v/>
      </c>
      <c r="BJ8" s="279">
        <f>'Revenue Build-Up'!BJ20</f>
        <v/>
      </c>
      <c r="BK8" s="279">
        <f>'Revenue Build-Up'!BK20</f>
        <v/>
      </c>
      <c r="BL8" s="279">
        <f>'Revenue Build-Up'!BL20</f>
        <v/>
      </c>
      <c r="BM8" s="279">
        <f>'Revenue Build-Up'!BM20</f>
        <v/>
      </c>
      <c r="BN8" s="279">
        <f>SUM(BB8:BM8)</f>
        <v/>
      </c>
    </row>
    <row r="9" ht="15" customHeight="1" s="82">
      <c r="A9" s="137" t="inlineStr">
        <is>
          <t>Other ancillary revenue</t>
        </is>
      </c>
      <c r="B9" s="279">
        <f>'Revenue Build-Up'!B24</f>
        <v/>
      </c>
      <c r="C9" s="279">
        <f>'Revenue Build-Up'!C24</f>
        <v/>
      </c>
      <c r="D9" s="279">
        <f>'Revenue Build-Up'!D24</f>
        <v/>
      </c>
      <c r="E9" s="279">
        <f>'Revenue Build-Up'!E24</f>
        <v/>
      </c>
      <c r="F9" s="279">
        <f>'Revenue Build-Up'!F24</f>
        <v/>
      </c>
      <c r="G9" s="279">
        <f>'Revenue Build-Up'!G24</f>
        <v/>
      </c>
      <c r="H9" s="279">
        <f>'Revenue Build-Up'!H24</f>
        <v/>
      </c>
      <c r="I9" s="279">
        <f>'Revenue Build-Up'!I24</f>
        <v/>
      </c>
      <c r="J9" s="279">
        <f>'Revenue Build-Up'!J24</f>
        <v/>
      </c>
      <c r="K9" s="279">
        <f>'Revenue Build-Up'!K24</f>
        <v/>
      </c>
      <c r="L9" s="279">
        <f>'Revenue Build-Up'!L24</f>
        <v/>
      </c>
      <c r="M9" s="279">
        <f>'Revenue Build-Up'!M24</f>
        <v/>
      </c>
      <c r="N9" s="279">
        <f>SUM(B9:M9)</f>
        <v/>
      </c>
      <c r="O9" s="279">
        <f>'Revenue Build-Up'!O24</f>
        <v/>
      </c>
      <c r="P9" s="279">
        <f>'Revenue Build-Up'!P24</f>
        <v/>
      </c>
      <c r="Q9" s="279">
        <f>'Revenue Build-Up'!Q24</f>
        <v/>
      </c>
      <c r="R9" s="279">
        <f>'Revenue Build-Up'!R24</f>
        <v/>
      </c>
      <c r="S9" s="279">
        <f>'Revenue Build-Up'!S24</f>
        <v/>
      </c>
      <c r="T9" s="279">
        <f>'Revenue Build-Up'!T24</f>
        <v/>
      </c>
      <c r="U9" s="279">
        <f>'Revenue Build-Up'!U24</f>
        <v/>
      </c>
      <c r="V9" s="279">
        <f>'Revenue Build-Up'!V24</f>
        <v/>
      </c>
      <c r="W9" s="279">
        <f>'Revenue Build-Up'!W24</f>
        <v/>
      </c>
      <c r="X9" s="279">
        <f>'Revenue Build-Up'!X24</f>
        <v/>
      </c>
      <c r="Y9" s="279">
        <f>'Revenue Build-Up'!Y24</f>
        <v/>
      </c>
      <c r="Z9" s="279">
        <f>'Revenue Build-Up'!Z24</f>
        <v/>
      </c>
      <c r="AA9" s="279">
        <f>SUM(O9:Z9)</f>
        <v/>
      </c>
      <c r="AB9" s="279">
        <f>'Revenue Build-Up'!AB24</f>
        <v/>
      </c>
      <c r="AC9" s="279">
        <f>'Revenue Build-Up'!AC24</f>
        <v/>
      </c>
      <c r="AD9" s="279">
        <f>'Revenue Build-Up'!AD24</f>
        <v/>
      </c>
      <c r="AE9" s="279">
        <f>'Revenue Build-Up'!AE24</f>
        <v/>
      </c>
      <c r="AF9" s="279">
        <f>'Revenue Build-Up'!AF24</f>
        <v/>
      </c>
      <c r="AG9" s="279">
        <f>'Revenue Build-Up'!AG24</f>
        <v/>
      </c>
      <c r="AH9" s="279">
        <f>'Revenue Build-Up'!AH24</f>
        <v/>
      </c>
      <c r="AI9" s="279">
        <f>'Revenue Build-Up'!AI24</f>
        <v/>
      </c>
      <c r="AJ9" s="279">
        <f>'Revenue Build-Up'!AJ24</f>
        <v/>
      </c>
      <c r="AK9" s="279">
        <f>'Revenue Build-Up'!AK24</f>
        <v/>
      </c>
      <c r="AL9" s="279">
        <f>'Revenue Build-Up'!AL24</f>
        <v/>
      </c>
      <c r="AM9" s="279">
        <f>'Revenue Build-Up'!AM24</f>
        <v/>
      </c>
      <c r="AN9" s="279">
        <f>SUM(AB9:AM9)</f>
        <v/>
      </c>
      <c r="AO9" s="279">
        <f>'Revenue Build-Up'!AO24</f>
        <v/>
      </c>
      <c r="AP9" s="279">
        <f>'Revenue Build-Up'!AP24</f>
        <v/>
      </c>
      <c r="AQ9" s="279">
        <f>'Revenue Build-Up'!AQ24</f>
        <v/>
      </c>
      <c r="AR9" s="279">
        <f>'Revenue Build-Up'!AR24</f>
        <v/>
      </c>
      <c r="AS9" s="279">
        <f>'Revenue Build-Up'!AS24</f>
        <v/>
      </c>
      <c r="AT9" s="279">
        <f>'Revenue Build-Up'!AT24</f>
        <v/>
      </c>
      <c r="AU9" s="279">
        <f>'Revenue Build-Up'!AU24</f>
        <v/>
      </c>
      <c r="AV9" s="279">
        <f>'Revenue Build-Up'!AV24</f>
        <v/>
      </c>
      <c r="AW9" s="279">
        <f>'Revenue Build-Up'!AW24</f>
        <v/>
      </c>
      <c r="AX9" s="279">
        <f>'Revenue Build-Up'!AX24</f>
        <v/>
      </c>
      <c r="AY9" s="279">
        <f>'Revenue Build-Up'!AY24</f>
        <v/>
      </c>
      <c r="AZ9" s="279">
        <f>'Revenue Build-Up'!AZ24</f>
        <v/>
      </c>
      <c r="BA9" s="279">
        <f>SUM(AO9:AZ9)</f>
        <v/>
      </c>
      <c r="BB9" s="279">
        <f>'Revenue Build-Up'!BB24</f>
        <v/>
      </c>
      <c r="BC9" s="279">
        <f>'Revenue Build-Up'!BC24</f>
        <v/>
      </c>
      <c r="BD9" s="279">
        <f>'Revenue Build-Up'!BD24</f>
        <v/>
      </c>
      <c r="BE9" s="279">
        <f>'Revenue Build-Up'!BE24</f>
        <v/>
      </c>
      <c r="BF9" s="279">
        <f>'Revenue Build-Up'!BF24</f>
        <v/>
      </c>
      <c r="BG9" s="279">
        <f>'Revenue Build-Up'!BG24</f>
        <v/>
      </c>
      <c r="BH9" s="279">
        <f>'Revenue Build-Up'!BH24</f>
        <v/>
      </c>
      <c r="BI9" s="279">
        <f>'Revenue Build-Up'!BI24</f>
        <v/>
      </c>
      <c r="BJ9" s="279">
        <f>'Revenue Build-Up'!BJ24</f>
        <v/>
      </c>
      <c r="BK9" s="279">
        <f>'Revenue Build-Up'!BK24</f>
        <v/>
      </c>
      <c r="BL9" s="279">
        <f>'Revenue Build-Up'!BL24</f>
        <v/>
      </c>
      <c r="BM9" s="279">
        <f>'Revenue Build-Up'!BM24</f>
        <v/>
      </c>
      <c r="BN9" s="279">
        <f>SUM(BB9:BM9)</f>
        <v/>
      </c>
    </row>
    <row r="10" ht="15" customHeight="1" s="82">
      <c r="A10" s="280" t="inlineStr">
        <is>
          <t>Total Revenue</t>
        </is>
      </c>
      <c r="B10" s="281">
        <f>B5+B6+B7+B8+B9</f>
        <v/>
      </c>
      <c r="C10" s="281">
        <f>C5+C6+C7+C8+C9</f>
        <v/>
      </c>
      <c r="D10" s="281">
        <f>D5+D6+D7+D8+D9</f>
        <v/>
      </c>
      <c r="E10" s="281">
        <f>E5+E6+E7+E8+E9</f>
        <v/>
      </c>
      <c r="F10" s="281">
        <f>F5+F6+F7+F8+F9</f>
        <v/>
      </c>
      <c r="G10" s="281">
        <f>G5+G6+G7+G8+G9</f>
        <v/>
      </c>
      <c r="H10" s="281">
        <f>H5+H6+H7+H8+H9</f>
        <v/>
      </c>
      <c r="I10" s="281">
        <f>I5+I6+I7+I8+I9</f>
        <v/>
      </c>
      <c r="J10" s="281">
        <f>J5+J6+J7+J8+J9</f>
        <v/>
      </c>
      <c r="K10" s="281">
        <f>K5+K6+K7+K8+K9</f>
        <v/>
      </c>
      <c r="L10" s="281">
        <f>L5+L6+L7+L8+L9</f>
        <v/>
      </c>
      <c r="M10" s="281">
        <f>M5+M6+M7+M8+M9</f>
        <v/>
      </c>
      <c r="N10" s="281">
        <f>SUM(B10:M10)</f>
        <v/>
      </c>
      <c r="O10" s="281">
        <f>O5+O6+O7+O8+O9</f>
        <v/>
      </c>
      <c r="P10" s="281">
        <f>P5+P6+P7+P8+P9</f>
        <v/>
      </c>
      <c r="Q10" s="281">
        <f>Q5+Q6+Q7+Q8+Q9</f>
        <v/>
      </c>
      <c r="R10" s="281">
        <f>R5+R6+R7+R8+R9</f>
        <v/>
      </c>
      <c r="S10" s="281">
        <f>S5+S6+S7+S8+S9</f>
        <v/>
      </c>
      <c r="T10" s="281">
        <f>T5+T6+T7+T8+T9</f>
        <v/>
      </c>
      <c r="U10" s="281">
        <f>U5+U6+U7+U8+U9</f>
        <v/>
      </c>
      <c r="V10" s="281">
        <f>V5+V6+V7+V8+V9</f>
        <v/>
      </c>
      <c r="W10" s="281">
        <f>W5+W6+W7+W8+W9</f>
        <v/>
      </c>
      <c r="X10" s="281">
        <f>X5+X6+X7+X8+X9</f>
        <v/>
      </c>
      <c r="Y10" s="281">
        <f>Y5+Y6+Y7+Y8+Y9</f>
        <v/>
      </c>
      <c r="Z10" s="281">
        <f>Z5+Z6+Z7+Z8+Z9</f>
        <v/>
      </c>
      <c r="AA10" s="281">
        <f>SUM(O10:Z10)</f>
        <v/>
      </c>
      <c r="AB10" s="281">
        <f>AB5+AB6+AB7+AB8+AB9</f>
        <v/>
      </c>
      <c r="AC10" s="281">
        <f>AC5+AC6+AC7+AC8+AC9</f>
        <v/>
      </c>
      <c r="AD10" s="281">
        <f>AD5+AD6+AD7+AD8+AD9</f>
        <v/>
      </c>
      <c r="AE10" s="281">
        <f>AE5+AE6+AE7+AE8+AE9</f>
        <v/>
      </c>
      <c r="AF10" s="281">
        <f>AF5+AF6+AF7+AF8+AF9</f>
        <v/>
      </c>
      <c r="AG10" s="281">
        <f>AG5+AG6+AG7+AG8+AG9</f>
        <v/>
      </c>
      <c r="AH10" s="281">
        <f>AH5+AH6+AH7+AH8+AH9</f>
        <v/>
      </c>
      <c r="AI10" s="281">
        <f>AI5+AI6+AI7+AI8+AI9</f>
        <v/>
      </c>
      <c r="AJ10" s="281">
        <f>AJ5+AJ6+AJ7+AJ8+AJ9</f>
        <v/>
      </c>
      <c r="AK10" s="281">
        <f>AK5+AK6+AK7+AK8+AK9</f>
        <v/>
      </c>
      <c r="AL10" s="281">
        <f>AL5+AL6+AL7+AL8+AL9</f>
        <v/>
      </c>
      <c r="AM10" s="281">
        <f>AM5+AM6+AM7+AM8+AM9</f>
        <v/>
      </c>
      <c r="AN10" s="281">
        <f>SUM(AB10:AM10)</f>
        <v/>
      </c>
      <c r="AO10" s="281">
        <f>AO5+AO6+AO7+AO8+AO9</f>
        <v/>
      </c>
      <c r="AP10" s="281">
        <f>AP5+AP6+AP7+AP8+AP9</f>
        <v/>
      </c>
      <c r="AQ10" s="281">
        <f>AQ5+AQ6+AQ7+AQ8+AQ9</f>
        <v/>
      </c>
      <c r="AR10" s="281">
        <f>AR5+AR6+AR7+AR8+AR9</f>
        <v/>
      </c>
      <c r="AS10" s="281">
        <f>AS5+AS6+AS7+AS8+AS9</f>
        <v/>
      </c>
      <c r="AT10" s="281">
        <f>AT5+AT6+AT7+AT8+AT9</f>
        <v/>
      </c>
      <c r="AU10" s="281">
        <f>AU5+AU6+AU7+AU8+AU9</f>
        <v/>
      </c>
      <c r="AV10" s="281">
        <f>AV5+AV6+AV7+AV8+AV9</f>
        <v/>
      </c>
      <c r="AW10" s="281">
        <f>AW5+AW6+AW7+AW8+AW9</f>
        <v/>
      </c>
      <c r="AX10" s="281">
        <f>AX5+AX6+AX7+AX8+AX9</f>
        <v/>
      </c>
      <c r="AY10" s="281">
        <f>AY5+AY6+AY7+AY8+AY9</f>
        <v/>
      </c>
      <c r="AZ10" s="281">
        <f>AZ5+AZ6+AZ7+AZ8+AZ9</f>
        <v/>
      </c>
      <c r="BA10" s="281">
        <f>SUM(AO10:AZ10)</f>
        <v/>
      </c>
      <c r="BB10" s="281">
        <f>BB5+BB6+BB7+BB8+BB9</f>
        <v/>
      </c>
      <c r="BC10" s="281">
        <f>BC5+BC6+BC7+BC8+BC9</f>
        <v/>
      </c>
      <c r="BD10" s="281">
        <f>BD5+BD6+BD7+BD8+BD9</f>
        <v/>
      </c>
      <c r="BE10" s="281">
        <f>BE5+BE6+BE7+BE8+BE9</f>
        <v/>
      </c>
      <c r="BF10" s="281">
        <f>BF5+BF6+BF7+BF8+BF9</f>
        <v/>
      </c>
      <c r="BG10" s="281">
        <f>BG5+BG6+BG7+BG8+BG9</f>
        <v/>
      </c>
      <c r="BH10" s="281">
        <f>BH5+BH6+BH7+BH8+BH9</f>
        <v/>
      </c>
      <c r="BI10" s="281">
        <f>BI5+BI6+BI7+BI8+BI9</f>
        <v/>
      </c>
      <c r="BJ10" s="281">
        <f>BJ5+BJ6+BJ7+BJ8+BJ9</f>
        <v/>
      </c>
      <c r="BK10" s="281">
        <f>BK5+BK6+BK7+BK8+BK9</f>
        <v/>
      </c>
      <c r="BL10" s="281">
        <f>BL5+BL6+BL7+BL8+BL9</f>
        <v/>
      </c>
      <c r="BM10" s="281">
        <f>BM5+BM6+BM7+BM8+BM9</f>
        <v/>
      </c>
      <c r="BN10" s="281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2">
        <f>Expenses!B5</f>
        <v/>
      </c>
      <c r="C11" s="282">
        <f>Expenses!C5</f>
        <v/>
      </c>
      <c r="D11" s="282">
        <f>Expenses!D5</f>
        <v/>
      </c>
      <c r="E11" s="282">
        <f>Expenses!E5</f>
        <v/>
      </c>
      <c r="F11" s="282">
        <f>Expenses!F5</f>
        <v/>
      </c>
      <c r="G11" s="282">
        <f>Expenses!G5</f>
        <v/>
      </c>
      <c r="H11" s="282">
        <f>Expenses!H5</f>
        <v/>
      </c>
      <c r="I11" s="282">
        <f>Expenses!I5</f>
        <v/>
      </c>
      <c r="J11" s="282">
        <f>Expenses!J5</f>
        <v/>
      </c>
      <c r="K11" s="282">
        <f>Expenses!K5</f>
        <v/>
      </c>
      <c r="L11" s="282">
        <f>Expenses!L5</f>
        <v/>
      </c>
      <c r="M11" s="282">
        <f>Expenses!M5</f>
        <v/>
      </c>
      <c r="N11" s="282">
        <f>SUM(B11:M11)</f>
        <v/>
      </c>
      <c r="O11" s="282">
        <f>Expenses!O5</f>
        <v/>
      </c>
      <c r="P11" s="282">
        <f>Expenses!P5</f>
        <v/>
      </c>
      <c r="Q11" s="282">
        <f>Expenses!Q5</f>
        <v/>
      </c>
      <c r="R11" s="282">
        <f>Expenses!R5</f>
        <v/>
      </c>
      <c r="S11" s="282">
        <f>Expenses!S5</f>
        <v/>
      </c>
      <c r="T11" s="282">
        <f>Expenses!T5</f>
        <v/>
      </c>
      <c r="U11" s="282">
        <f>Expenses!U5</f>
        <v/>
      </c>
      <c r="V11" s="282">
        <f>Expenses!V5</f>
        <v/>
      </c>
      <c r="W11" s="282">
        <f>Expenses!W5</f>
        <v/>
      </c>
      <c r="X11" s="282">
        <f>Expenses!X5</f>
        <v/>
      </c>
      <c r="Y11" s="282">
        <f>Expenses!Y5</f>
        <v/>
      </c>
      <c r="Z11" s="282">
        <f>Expenses!Z5</f>
        <v/>
      </c>
      <c r="AA11" s="282">
        <f>SUM(O11:Z11)</f>
        <v/>
      </c>
      <c r="AB11" s="282">
        <f>Expenses!AB5</f>
        <v/>
      </c>
      <c r="AC11" s="282">
        <f>Expenses!AC5</f>
        <v/>
      </c>
      <c r="AD11" s="282">
        <f>Expenses!AD5</f>
        <v/>
      </c>
      <c r="AE11" s="282">
        <f>Expenses!AE5</f>
        <v/>
      </c>
      <c r="AF11" s="282">
        <f>Expenses!AF5</f>
        <v/>
      </c>
      <c r="AG11" s="282">
        <f>Expenses!AG5</f>
        <v/>
      </c>
      <c r="AH11" s="282">
        <f>Expenses!AH5</f>
        <v/>
      </c>
      <c r="AI11" s="282">
        <f>Expenses!AI5</f>
        <v/>
      </c>
      <c r="AJ11" s="282">
        <f>Expenses!AJ5</f>
        <v/>
      </c>
      <c r="AK11" s="282">
        <f>Expenses!AK5</f>
        <v/>
      </c>
      <c r="AL11" s="282">
        <f>Expenses!AL5</f>
        <v/>
      </c>
      <c r="AM11" s="282">
        <f>Expenses!AM5</f>
        <v/>
      </c>
      <c r="AN11" s="282">
        <f>SUM(AB11:AM11)</f>
        <v/>
      </c>
      <c r="AO11" s="282">
        <f>Expenses!AO5</f>
        <v/>
      </c>
      <c r="AP11" s="282">
        <f>Expenses!AP5</f>
        <v/>
      </c>
      <c r="AQ11" s="282">
        <f>Expenses!AQ5</f>
        <v/>
      </c>
      <c r="AR11" s="282">
        <f>Expenses!AR5</f>
        <v/>
      </c>
      <c r="AS11" s="282">
        <f>Expenses!AS5</f>
        <v/>
      </c>
      <c r="AT11" s="282">
        <f>Expenses!AT5</f>
        <v/>
      </c>
      <c r="AU11" s="282">
        <f>Expenses!AU5</f>
        <v/>
      </c>
      <c r="AV11" s="282">
        <f>Expenses!AV5</f>
        <v/>
      </c>
      <c r="AW11" s="282">
        <f>Expenses!AW5</f>
        <v/>
      </c>
      <c r="AX11" s="282">
        <f>Expenses!AX5</f>
        <v/>
      </c>
      <c r="AY11" s="282">
        <f>Expenses!AY5</f>
        <v/>
      </c>
      <c r="AZ11" s="282">
        <f>Expenses!AZ5</f>
        <v/>
      </c>
      <c r="BA11" s="282">
        <f>SUM(AO11:AZ11)</f>
        <v/>
      </c>
      <c r="BB11" s="282">
        <f>Expenses!BB5</f>
        <v/>
      </c>
      <c r="BC11" s="282">
        <f>Expenses!BC5</f>
        <v/>
      </c>
      <c r="BD11" s="282">
        <f>Expenses!BD5</f>
        <v/>
      </c>
      <c r="BE11" s="282">
        <f>Expenses!BE5</f>
        <v/>
      </c>
      <c r="BF11" s="282">
        <f>Expenses!BF5</f>
        <v/>
      </c>
      <c r="BG11" s="282">
        <f>Expenses!BG5</f>
        <v/>
      </c>
      <c r="BH11" s="282">
        <f>Expenses!BH5</f>
        <v/>
      </c>
      <c r="BI11" s="282">
        <f>Expenses!BI5</f>
        <v/>
      </c>
      <c r="BJ11" s="282">
        <f>Expenses!BJ5</f>
        <v/>
      </c>
      <c r="BK11" s="282">
        <f>Expenses!BK5</f>
        <v/>
      </c>
      <c r="BL11" s="282">
        <f>Expenses!BL5</f>
        <v/>
      </c>
      <c r="BM11" s="282">
        <f>Expenses!BM5</f>
        <v/>
      </c>
      <c r="BN11" s="282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2">
        <f>Expenses!B6</f>
        <v/>
      </c>
      <c r="C12" s="282">
        <f>Expenses!C6</f>
        <v/>
      </c>
      <c r="D12" s="282">
        <f>Expenses!D6</f>
        <v/>
      </c>
      <c r="E12" s="282">
        <f>Expenses!E6</f>
        <v/>
      </c>
      <c r="F12" s="282">
        <f>Expenses!F6</f>
        <v/>
      </c>
      <c r="G12" s="282">
        <f>Expenses!G6</f>
        <v/>
      </c>
      <c r="H12" s="282">
        <f>Expenses!H6</f>
        <v/>
      </c>
      <c r="I12" s="282">
        <f>Expenses!I6</f>
        <v/>
      </c>
      <c r="J12" s="282">
        <f>Expenses!J6</f>
        <v/>
      </c>
      <c r="K12" s="282">
        <f>Expenses!K6</f>
        <v/>
      </c>
      <c r="L12" s="282">
        <f>Expenses!L6</f>
        <v/>
      </c>
      <c r="M12" s="282">
        <f>Expenses!M6</f>
        <v/>
      </c>
      <c r="N12" s="282">
        <f>SUM(B12:M12)</f>
        <v/>
      </c>
      <c r="O12" s="282">
        <f>Expenses!O6</f>
        <v/>
      </c>
      <c r="P12" s="282">
        <f>Expenses!P6</f>
        <v/>
      </c>
      <c r="Q12" s="282">
        <f>Expenses!Q6</f>
        <v/>
      </c>
      <c r="R12" s="282">
        <f>Expenses!R6</f>
        <v/>
      </c>
      <c r="S12" s="282">
        <f>Expenses!S6</f>
        <v/>
      </c>
      <c r="T12" s="282">
        <f>Expenses!T6</f>
        <v/>
      </c>
      <c r="U12" s="282">
        <f>Expenses!U6</f>
        <v/>
      </c>
      <c r="V12" s="282">
        <f>Expenses!V6</f>
        <v/>
      </c>
      <c r="W12" s="282">
        <f>Expenses!W6</f>
        <v/>
      </c>
      <c r="X12" s="282">
        <f>Expenses!X6</f>
        <v/>
      </c>
      <c r="Y12" s="282">
        <f>Expenses!Y6</f>
        <v/>
      </c>
      <c r="Z12" s="282">
        <f>Expenses!Z6</f>
        <v/>
      </c>
      <c r="AA12" s="282">
        <f>SUM(O12:Z12)</f>
        <v/>
      </c>
      <c r="AB12" s="282">
        <f>Expenses!AB6</f>
        <v/>
      </c>
      <c r="AC12" s="282">
        <f>Expenses!AC6</f>
        <v/>
      </c>
      <c r="AD12" s="282">
        <f>Expenses!AD6</f>
        <v/>
      </c>
      <c r="AE12" s="282">
        <f>Expenses!AE6</f>
        <v/>
      </c>
      <c r="AF12" s="282">
        <f>Expenses!AF6</f>
        <v/>
      </c>
      <c r="AG12" s="282">
        <f>Expenses!AG6</f>
        <v/>
      </c>
      <c r="AH12" s="282">
        <f>Expenses!AH6</f>
        <v/>
      </c>
      <c r="AI12" s="282">
        <f>Expenses!AI6</f>
        <v/>
      </c>
      <c r="AJ12" s="282">
        <f>Expenses!AJ6</f>
        <v/>
      </c>
      <c r="AK12" s="282">
        <f>Expenses!AK6</f>
        <v/>
      </c>
      <c r="AL12" s="282">
        <f>Expenses!AL6</f>
        <v/>
      </c>
      <c r="AM12" s="282">
        <f>Expenses!AM6</f>
        <v/>
      </c>
      <c r="AN12" s="282">
        <f>SUM(AB12:AM12)</f>
        <v/>
      </c>
      <c r="AO12" s="282">
        <f>Expenses!AO6</f>
        <v/>
      </c>
      <c r="AP12" s="282">
        <f>Expenses!AP6</f>
        <v/>
      </c>
      <c r="AQ12" s="282">
        <f>Expenses!AQ6</f>
        <v/>
      </c>
      <c r="AR12" s="282">
        <f>Expenses!AR6</f>
        <v/>
      </c>
      <c r="AS12" s="282">
        <f>Expenses!AS6</f>
        <v/>
      </c>
      <c r="AT12" s="282">
        <f>Expenses!AT6</f>
        <v/>
      </c>
      <c r="AU12" s="282">
        <f>Expenses!AU6</f>
        <v/>
      </c>
      <c r="AV12" s="282">
        <f>Expenses!AV6</f>
        <v/>
      </c>
      <c r="AW12" s="282">
        <f>Expenses!AW6</f>
        <v/>
      </c>
      <c r="AX12" s="282">
        <f>Expenses!AX6</f>
        <v/>
      </c>
      <c r="AY12" s="282">
        <f>Expenses!AY6</f>
        <v/>
      </c>
      <c r="AZ12" s="282">
        <f>Expenses!AZ6</f>
        <v/>
      </c>
      <c r="BA12" s="282">
        <f>SUM(AO12:AZ12)</f>
        <v/>
      </c>
      <c r="BB12" s="282">
        <f>Expenses!BB6</f>
        <v/>
      </c>
      <c r="BC12" s="282">
        <f>Expenses!BC6</f>
        <v/>
      </c>
      <c r="BD12" s="282">
        <f>Expenses!BD6</f>
        <v/>
      </c>
      <c r="BE12" s="282">
        <f>Expenses!BE6</f>
        <v/>
      </c>
      <c r="BF12" s="282">
        <f>Expenses!BF6</f>
        <v/>
      </c>
      <c r="BG12" s="282">
        <f>Expenses!BG6</f>
        <v/>
      </c>
      <c r="BH12" s="282">
        <f>Expenses!BH6</f>
        <v/>
      </c>
      <c r="BI12" s="282">
        <f>Expenses!BI6</f>
        <v/>
      </c>
      <c r="BJ12" s="282">
        <f>Expenses!BJ6</f>
        <v/>
      </c>
      <c r="BK12" s="282">
        <f>Expenses!BK6</f>
        <v/>
      </c>
      <c r="BL12" s="282">
        <f>Expenses!BL6</f>
        <v/>
      </c>
      <c r="BM12" s="282">
        <f>Expenses!BM6</f>
        <v/>
      </c>
      <c r="BN12" s="282">
        <f>SUM(BB12:BM12)</f>
        <v/>
      </c>
    </row>
    <row r="13" ht="15" customHeight="1" s="82">
      <c r="A13" s="144" t="inlineStr">
        <is>
          <t>(-) Direct wages &amp; salaries</t>
        </is>
      </c>
      <c r="B13" s="282">
        <f>Expenses!B7</f>
        <v/>
      </c>
      <c r="C13" s="282">
        <f>Expenses!C7</f>
        <v/>
      </c>
      <c r="D13" s="282">
        <f>Expenses!D7</f>
        <v/>
      </c>
      <c r="E13" s="282">
        <f>Expenses!E7</f>
        <v/>
      </c>
      <c r="F13" s="282">
        <f>Expenses!F7</f>
        <v/>
      </c>
      <c r="G13" s="282">
        <f>Expenses!G7</f>
        <v/>
      </c>
      <c r="H13" s="282">
        <f>Expenses!H7</f>
        <v/>
      </c>
      <c r="I13" s="282">
        <f>Expenses!I7</f>
        <v/>
      </c>
      <c r="J13" s="282">
        <f>Expenses!J7</f>
        <v/>
      </c>
      <c r="K13" s="282">
        <f>Expenses!K7</f>
        <v/>
      </c>
      <c r="L13" s="282">
        <f>Expenses!L7</f>
        <v/>
      </c>
      <c r="M13" s="282">
        <f>Expenses!M7</f>
        <v/>
      </c>
      <c r="N13" s="282">
        <f>SUM(B13:M13)</f>
        <v/>
      </c>
      <c r="O13" s="282">
        <f>Expenses!O7</f>
        <v/>
      </c>
      <c r="P13" s="282">
        <f>Expenses!P7</f>
        <v/>
      </c>
      <c r="Q13" s="282">
        <f>Expenses!Q7</f>
        <v/>
      </c>
      <c r="R13" s="282">
        <f>Expenses!R7</f>
        <v/>
      </c>
      <c r="S13" s="282">
        <f>Expenses!S7</f>
        <v/>
      </c>
      <c r="T13" s="282">
        <f>Expenses!T7</f>
        <v/>
      </c>
      <c r="U13" s="282">
        <f>Expenses!U7</f>
        <v/>
      </c>
      <c r="V13" s="282">
        <f>Expenses!V7</f>
        <v/>
      </c>
      <c r="W13" s="282">
        <f>Expenses!W7</f>
        <v/>
      </c>
      <c r="X13" s="282">
        <f>Expenses!X7</f>
        <v/>
      </c>
      <c r="Y13" s="282">
        <f>Expenses!Y7</f>
        <v/>
      </c>
      <c r="Z13" s="282">
        <f>Expenses!Z7</f>
        <v/>
      </c>
      <c r="AA13" s="282">
        <f>SUM(O13:Z13)</f>
        <v/>
      </c>
      <c r="AB13" s="282">
        <f>Expenses!AB7</f>
        <v/>
      </c>
      <c r="AC13" s="282">
        <f>Expenses!AC7</f>
        <v/>
      </c>
      <c r="AD13" s="282">
        <f>Expenses!AD7</f>
        <v/>
      </c>
      <c r="AE13" s="282">
        <f>Expenses!AE7</f>
        <v/>
      </c>
      <c r="AF13" s="282">
        <f>Expenses!AF7</f>
        <v/>
      </c>
      <c r="AG13" s="282">
        <f>Expenses!AG7</f>
        <v/>
      </c>
      <c r="AH13" s="282">
        <f>Expenses!AH7</f>
        <v/>
      </c>
      <c r="AI13" s="282">
        <f>Expenses!AI7</f>
        <v/>
      </c>
      <c r="AJ13" s="282">
        <f>Expenses!AJ7</f>
        <v/>
      </c>
      <c r="AK13" s="282">
        <f>Expenses!AK7</f>
        <v/>
      </c>
      <c r="AL13" s="282">
        <f>Expenses!AL7</f>
        <v/>
      </c>
      <c r="AM13" s="282">
        <f>Expenses!AM7</f>
        <v/>
      </c>
      <c r="AN13" s="282">
        <f>SUM(AB13:AM13)</f>
        <v/>
      </c>
      <c r="AO13" s="282">
        <f>Expenses!AO7</f>
        <v/>
      </c>
      <c r="AP13" s="282">
        <f>Expenses!AP7</f>
        <v/>
      </c>
      <c r="AQ13" s="282">
        <f>Expenses!AQ7</f>
        <v/>
      </c>
      <c r="AR13" s="282">
        <f>Expenses!AR7</f>
        <v/>
      </c>
      <c r="AS13" s="282">
        <f>Expenses!AS7</f>
        <v/>
      </c>
      <c r="AT13" s="282">
        <f>Expenses!AT7</f>
        <v/>
      </c>
      <c r="AU13" s="282">
        <f>Expenses!AU7</f>
        <v/>
      </c>
      <c r="AV13" s="282">
        <f>Expenses!AV7</f>
        <v/>
      </c>
      <c r="AW13" s="282">
        <f>Expenses!AW7</f>
        <v/>
      </c>
      <c r="AX13" s="282">
        <f>Expenses!AX7</f>
        <v/>
      </c>
      <c r="AY13" s="282">
        <f>Expenses!AY7</f>
        <v/>
      </c>
      <c r="AZ13" s="282">
        <f>Expenses!AZ7</f>
        <v/>
      </c>
      <c r="BA13" s="282">
        <f>SUM(AO13:AZ13)</f>
        <v/>
      </c>
      <c r="BB13" s="282">
        <f>Expenses!BB7</f>
        <v/>
      </c>
      <c r="BC13" s="282">
        <f>Expenses!BC7</f>
        <v/>
      </c>
      <c r="BD13" s="282">
        <f>Expenses!BD7</f>
        <v/>
      </c>
      <c r="BE13" s="282">
        <f>Expenses!BE7</f>
        <v/>
      </c>
      <c r="BF13" s="282">
        <f>Expenses!BF7</f>
        <v/>
      </c>
      <c r="BG13" s="282">
        <f>Expenses!BG7</f>
        <v/>
      </c>
      <c r="BH13" s="282">
        <f>Expenses!BH7</f>
        <v/>
      </c>
      <c r="BI13" s="282">
        <f>Expenses!BI7</f>
        <v/>
      </c>
      <c r="BJ13" s="282">
        <f>Expenses!BJ7</f>
        <v/>
      </c>
      <c r="BK13" s="282">
        <f>Expenses!BK7</f>
        <v/>
      </c>
      <c r="BL13" s="282">
        <f>Expenses!BL7</f>
        <v/>
      </c>
      <c r="BM13" s="282">
        <f>Expenses!BM7</f>
        <v/>
      </c>
      <c r="BN13" s="282">
        <f>SUM(BB13:BM13)</f>
        <v/>
      </c>
    </row>
    <row r="14" ht="15" customHeight="1" s="82">
      <c r="A14" s="144" t="inlineStr">
        <is>
          <t>(-) Other variable cost</t>
        </is>
      </c>
      <c r="B14" s="282">
        <f>Expenses!B8</f>
        <v/>
      </c>
      <c r="C14" s="282">
        <f>Expenses!C8</f>
        <v/>
      </c>
      <c r="D14" s="282">
        <f>Expenses!D8</f>
        <v/>
      </c>
      <c r="E14" s="282">
        <f>Expenses!E8</f>
        <v/>
      </c>
      <c r="F14" s="282">
        <f>Expenses!F8</f>
        <v/>
      </c>
      <c r="G14" s="282">
        <f>Expenses!G8</f>
        <v/>
      </c>
      <c r="H14" s="282">
        <f>Expenses!H8</f>
        <v/>
      </c>
      <c r="I14" s="282">
        <f>Expenses!I8</f>
        <v/>
      </c>
      <c r="J14" s="282">
        <f>Expenses!J8</f>
        <v/>
      </c>
      <c r="K14" s="282">
        <f>Expenses!K8</f>
        <v/>
      </c>
      <c r="L14" s="282">
        <f>Expenses!L8</f>
        <v/>
      </c>
      <c r="M14" s="282">
        <f>Expenses!M8</f>
        <v/>
      </c>
      <c r="N14" s="282">
        <f>SUM(B14:M14)</f>
        <v/>
      </c>
      <c r="O14" s="282">
        <f>Expenses!O8</f>
        <v/>
      </c>
      <c r="P14" s="282">
        <f>Expenses!P8</f>
        <v/>
      </c>
      <c r="Q14" s="282">
        <f>Expenses!Q8</f>
        <v/>
      </c>
      <c r="R14" s="282">
        <f>Expenses!R8</f>
        <v/>
      </c>
      <c r="S14" s="282">
        <f>Expenses!S8</f>
        <v/>
      </c>
      <c r="T14" s="282">
        <f>Expenses!T8</f>
        <v/>
      </c>
      <c r="U14" s="282">
        <f>Expenses!U8</f>
        <v/>
      </c>
      <c r="V14" s="282">
        <f>Expenses!V8</f>
        <v/>
      </c>
      <c r="W14" s="282">
        <f>Expenses!W8</f>
        <v/>
      </c>
      <c r="X14" s="282">
        <f>Expenses!X8</f>
        <v/>
      </c>
      <c r="Y14" s="282">
        <f>Expenses!Y8</f>
        <v/>
      </c>
      <c r="Z14" s="282">
        <f>Expenses!Z8</f>
        <v/>
      </c>
      <c r="AA14" s="282">
        <f>SUM(O14:Z14)</f>
        <v/>
      </c>
      <c r="AB14" s="282">
        <f>Expenses!AB8</f>
        <v/>
      </c>
      <c r="AC14" s="282">
        <f>Expenses!AC8</f>
        <v/>
      </c>
      <c r="AD14" s="282">
        <f>Expenses!AD8</f>
        <v/>
      </c>
      <c r="AE14" s="282">
        <f>Expenses!AE8</f>
        <v/>
      </c>
      <c r="AF14" s="282">
        <f>Expenses!AF8</f>
        <v/>
      </c>
      <c r="AG14" s="282">
        <f>Expenses!AG8</f>
        <v/>
      </c>
      <c r="AH14" s="282">
        <f>Expenses!AH8</f>
        <v/>
      </c>
      <c r="AI14" s="282">
        <f>Expenses!AI8</f>
        <v/>
      </c>
      <c r="AJ14" s="282">
        <f>Expenses!AJ8</f>
        <v/>
      </c>
      <c r="AK14" s="282">
        <f>Expenses!AK8</f>
        <v/>
      </c>
      <c r="AL14" s="282">
        <f>Expenses!AL8</f>
        <v/>
      </c>
      <c r="AM14" s="282">
        <f>Expenses!AM8</f>
        <v/>
      </c>
      <c r="AN14" s="282">
        <f>SUM(AB14:AM14)</f>
        <v/>
      </c>
      <c r="AO14" s="282">
        <f>Expenses!AO8</f>
        <v/>
      </c>
      <c r="AP14" s="282">
        <f>Expenses!AP8</f>
        <v/>
      </c>
      <c r="AQ14" s="282">
        <f>Expenses!AQ8</f>
        <v/>
      </c>
      <c r="AR14" s="282">
        <f>Expenses!AR8</f>
        <v/>
      </c>
      <c r="AS14" s="282">
        <f>Expenses!AS8</f>
        <v/>
      </c>
      <c r="AT14" s="282">
        <f>Expenses!AT8</f>
        <v/>
      </c>
      <c r="AU14" s="282">
        <f>Expenses!AU8</f>
        <v/>
      </c>
      <c r="AV14" s="282">
        <f>Expenses!AV8</f>
        <v/>
      </c>
      <c r="AW14" s="282">
        <f>Expenses!AW8</f>
        <v/>
      </c>
      <c r="AX14" s="282">
        <f>Expenses!AX8</f>
        <v/>
      </c>
      <c r="AY14" s="282">
        <f>Expenses!AY8</f>
        <v/>
      </c>
      <c r="AZ14" s="282">
        <f>Expenses!AZ8</f>
        <v/>
      </c>
      <c r="BA14" s="282">
        <f>SUM(AO14:AZ14)</f>
        <v/>
      </c>
      <c r="BB14" s="282">
        <f>Expenses!BB8</f>
        <v/>
      </c>
      <c r="BC14" s="282">
        <f>Expenses!BC8</f>
        <v/>
      </c>
      <c r="BD14" s="282">
        <f>Expenses!BD8</f>
        <v/>
      </c>
      <c r="BE14" s="282">
        <f>Expenses!BE8</f>
        <v/>
      </c>
      <c r="BF14" s="282">
        <f>Expenses!BF8</f>
        <v/>
      </c>
      <c r="BG14" s="282">
        <f>Expenses!BG8</f>
        <v/>
      </c>
      <c r="BH14" s="282">
        <f>Expenses!BH8</f>
        <v/>
      </c>
      <c r="BI14" s="282">
        <f>Expenses!BI8</f>
        <v/>
      </c>
      <c r="BJ14" s="282">
        <f>Expenses!BJ8</f>
        <v/>
      </c>
      <c r="BK14" s="282">
        <f>Expenses!BK8</f>
        <v/>
      </c>
      <c r="BL14" s="282">
        <f>Expenses!BL8</f>
        <v/>
      </c>
      <c r="BM14" s="282">
        <f>Expenses!BM8</f>
        <v/>
      </c>
      <c r="BN14" s="282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2">
        <f>Expenses!B9</f>
        <v/>
      </c>
      <c r="C15" s="282">
        <f>Expenses!C9</f>
        <v/>
      </c>
      <c r="D15" s="282">
        <f>Expenses!D9</f>
        <v/>
      </c>
      <c r="E15" s="282">
        <f>Expenses!E9</f>
        <v/>
      </c>
      <c r="F15" s="282">
        <f>Expenses!F9</f>
        <v/>
      </c>
      <c r="G15" s="282">
        <f>Expenses!G9</f>
        <v/>
      </c>
      <c r="H15" s="282">
        <f>Expenses!H9</f>
        <v/>
      </c>
      <c r="I15" s="282">
        <f>Expenses!I9</f>
        <v/>
      </c>
      <c r="J15" s="282">
        <f>Expenses!J9</f>
        <v/>
      </c>
      <c r="K15" s="282">
        <f>Expenses!K9</f>
        <v/>
      </c>
      <c r="L15" s="282">
        <f>Expenses!L9</f>
        <v/>
      </c>
      <c r="M15" s="282">
        <f>Expenses!M9</f>
        <v/>
      </c>
      <c r="N15" s="282">
        <f>SUM(B15:M15)</f>
        <v/>
      </c>
      <c r="O15" s="282">
        <f>Expenses!O9</f>
        <v/>
      </c>
      <c r="P15" s="282">
        <f>Expenses!P9</f>
        <v/>
      </c>
      <c r="Q15" s="282">
        <f>Expenses!Q9</f>
        <v/>
      </c>
      <c r="R15" s="282">
        <f>Expenses!R9</f>
        <v/>
      </c>
      <c r="S15" s="282">
        <f>Expenses!S9</f>
        <v/>
      </c>
      <c r="T15" s="282">
        <f>Expenses!T9</f>
        <v/>
      </c>
      <c r="U15" s="282">
        <f>Expenses!U9</f>
        <v/>
      </c>
      <c r="V15" s="282">
        <f>Expenses!V9</f>
        <v/>
      </c>
      <c r="W15" s="282">
        <f>Expenses!W9</f>
        <v/>
      </c>
      <c r="X15" s="282">
        <f>Expenses!X9</f>
        <v/>
      </c>
      <c r="Y15" s="282">
        <f>Expenses!Y9</f>
        <v/>
      </c>
      <c r="Z15" s="282">
        <f>Expenses!Z9</f>
        <v/>
      </c>
      <c r="AA15" s="282">
        <f>SUM(O15:Z15)</f>
        <v/>
      </c>
      <c r="AB15" s="282">
        <f>Expenses!AB9</f>
        <v/>
      </c>
      <c r="AC15" s="282">
        <f>Expenses!AC9</f>
        <v/>
      </c>
      <c r="AD15" s="282">
        <f>Expenses!AD9</f>
        <v/>
      </c>
      <c r="AE15" s="282">
        <f>Expenses!AE9</f>
        <v/>
      </c>
      <c r="AF15" s="282">
        <f>Expenses!AF9</f>
        <v/>
      </c>
      <c r="AG15" s="282">
        <f>Expenses!AG9</f>
        <v/>
      </c>
      <c r="AH15" s="282">
        <f>Expenses!AH9</f>
        <v/>
      </c>
      <c r="AI15" s="282">
        <f>Expenses!AI9</f>
        <v/>
      </c>
      <c r="AJ15" s="282">
        <f>Expenses!AJ9</f>
        <v/>
      </c>
      <c r="AK15" s="282">
        <f>Expenses!AK9</f>
        <v/>
      </c>
      <c r="AL15" s="282">
        <f>Expenses!AL9</f>
        <v/>
      </c>
      <c r="AM15" s="282">
        <f>Expenses!AM9</f>
        <v/>
      </c>
      <c r="AN15" s="282">
        <f>SUM(AB15:AM15)</f>
        <v/>
      </c>
      <c r="AO15" s="282">
        <f>Expenses!AO9</f>
        <v/>
      </c>
      <c r="AP15" s="282">
        <f>Expenses!AP9</f>
        <v/>
      </c>
      <c r="AQ15" s="282">
        <f>Expenses!AQ9</f>
        <v/>
      </c>
      <c r="AR15" s="282">
        <f>Expenses!AR9</f>
        <v/>
      </c>
      <c r="AS15" s="282">
        <f>Expenses!AS9</f>
        <v/>
      </c>
      <c r="AT15" s="282">
        <f>Expenses!AT9</f>
        <v/>
      </c>
      <c r="AU15" s="282">
        <f>Expenses!AU9</f>
        <v/>
      </c>
      <c r="AV15" s="282">
        <f>Expenses!AV9</f>
        <v/>
      </c>
      <c r="AW15" s="282">
        <f>Expenses!AW9</f>
        <v/>
      </c>
      <c r="AX15" s="282">
        <f>Expenses!AX9</f>
        <v/>
      </c>
      <c r="AY15" s="282">
        <f>Expenses!AY9</f>
        <v/>
      </c>
      <c r="AZ15" s="282">
        <f>Expenses!AZ9</f>
        <v/>
      </c>
      <c r="BA15" s="282">
        <f>SUM(AO15:AZ15)</f>
        <v/>
      </c>
      <c r="BB15" s="282">
        <f>Expenses!BB9</f>
        <v/>
      </c>
      <c r="BC15" s="282">
        <f>Expenses!BC9</f>
        <v/>
      </c>
      <c r="BD15" s="282">
        <f>Expenses!BD9</f>
        <v/>
      </c>
      <c r="BE15" s="282">
        <f>Expenses!BE9</f>
        <v/>
      </c>
      <c r="BF15" s="282">
        <f>Expenses!BF9</f>
        <v/>
      </c>
      <c r="BG15" s="282">
        <f>Expenses!BG9</f>
        <v/>
      </c>
      <c r="BH15" s="282">
        <f>Expenses!BH9</f>
        <v/>
      </c>
      <c r="BI15" s="282">
        <f>Expenses!BI9</f>
        <v/>
      </c>
      <c r="BJ15" s="282">
        <f>Expenses!BJ9</f>
        <v/>
      </c>
      <c r="BK15" s="282">
        <f>Expenses!BK9</f>
        <v/>
      </c>
      <c r="BL15" s="282">
        <f>Expenses!BL9</f>
        <v/>
      </c>
      <c r="BM15" s="282">
        <f>Expenses!BM9</f>
        <v/>
      </c>
      <c r="BN15" s="282">
        <f>SUM(BB15:BM15)</f>
        <v/>
      </c>
    </row>
    <row r="16" ht="15" customHeight="1" s="82">
      <c r="A16" s="144" t="inlineStr">
        <is>
          <t>(-) Repairs &amp; maintenance</t>
        </is>
      </c>
      <c r="B16" s="282">
        <f>Expenses!B10</f>
        <v/>
      </c>
      <c r="C16" s="282">
        <f>Expenses!C10</f>
        <v/>
      </c>
      <c r="D16" s="282">
        <f>Expenses!D10</f>
        <v/>
      </c>
      <c r="E16" s="282">
        <f>Expenses!E10</f>
        <v/>
      </c>
      <c r="F16" s="282">
        <f>Expenses!F10</f>
        <v/>
      </c>
      <c r="G16" s="282">
        <f>Expenses!G10</f>
        <v/>
      </c>
      <c r="H16" s="282">
        <f>Expenses!H10</f>
        <v/>
      </c>
      <c r="I16" s="282">
        <f>Expenses!I10</f>
        <v/>
      </c>
      <c r="J16" s="282">
        <f>Expenses!J10</f>
        <v/>
      </c>
      <c r="K16" s="282">
        <f>Expenses!K10</f>
        <v/>
      </c>
      <c r="L16" s="282">
        <f>Expenses!L10</f>
        <v/>
      </c>
      <c r="M16" s="282">
        <f>Expenses!M10</f>
        <v/>
      </c>
      <c r="N16" s="282">
        <f>SUM(B16:M16)</f>
        <v/>
      </c>
      <c r="O16" s="282">
        <f>Expenses!O10</f>
        <v/>
      </c>
      <c r="P16" s="282">
        <f>Expenses!P10</f>
        <v/>
      </c>
      <c r="Q16" s="282">
        <f>Expenses!Q10</f>
        <v/>
      </c>
      <c r="R16" s="282">
        <f>Expenses!R10</f>
        <v/>
      </c>
      <c r="S16" s="282">
        <f>Expenses!S10</f>
        <v/>
      </c>
      <c r="T16" s="282">
        <f>Expenses!T10</f>
        <v/>
      </c>
      <c r="U16" s="282">
        <f>Expenses!U10</f>
        <v/>
      </c>
      <c r="V16" s="282">
        <f>Expenses!V10</f>
        <v/>
      </c>
      <c r="W16" s="282">
        <f>Expenses!W10</f>
        <v/>
      </c>
      <c r="X16" s="282">
        <f>Expenses!X10</f>
        <v/>
      </c>
      <c r="Y16" s="282">
        <f>Expenses!Y10</f>
        <v/>
      </c>
      <c r="Z16" s="282">
        <f>Expenses!Z10</f>
        <v/>
      </c>
      <c r="AA16" s="282">
        <f>SUM(O16:Z16)</f>
        <v/>
      </c>
      <c r="AB16" s="282">
        <f>Expenses!AB10</f>
        <v/>
      </c>
      <c r="AC16" s="282">
        <f>Expenses!AC10</f>
        <v/>
      </c>
      <c r="AD16" s="282">
        <f>Expenses!AD10</f>
        <v/>
      </c>
      <c r="AE16" s="282">
        <f>Expenses!AE10</f>
        <v/>
      </c>
      <c r="AF16" s="282">
        <f>Expenses!AF10</f>
        <v/>
      </c>
      <c r="AG16" s="282">
        <f>Expenses!AG10</f>
        <v/>
      </c>
      <c r="AH16" s="282">
        <f>Expenses!AH10</f>
        <v/>
      </c>
      <c r="AI16" s="282">
        <f>Expenses!AI10</f>
        <v/>
      </c>
      <c r="AJ16" s="282">
        <f>Expenses!AJ10</f>
        <v/>
      </c>
      <c r="AK16" s="282">
        <f>Expenses!AK10</f>
        <v/>
      </c>
      <c r="AL16" s="282">
        <f>Expenses!AL10</f>
        <v/>
      </c>
      <c r="AM16" s="282">
        <f>Expenses!AM10</f>
        <v/>
      </c>
      <c r="AN16" s="282">
        <f>SUM(AB16:AM16)</f>
        <v/>
      </c>
      <c r="AO16" s="282">
        <f>Expenses!AO10</f>
        <v/>
      </c>
      <c r="AP16" s="282">
        <f>Expenses!AP10</f>
        <v/>
      </c>
      <c r="AQ16" s="282">
        <f>Expenses!AQ10</f>
        <v/>
      </c>
      <c r="AR16" s="282">
        <f>Expenses!AR10</f>
        <v/>
      </c>
      <c r="AS16" s="282">
        <f>Expenses!AS10</f>
        <v/>
      </c>
      <c r="AT16" s="282">
        <f>Expenses!AT10</f>
        <v/>
      </c>
      <c r="AU16" s="282">
        <f>Expenses!AU10</f>
        <v/>
      </c>
      <c r="AV16" s="282">
        <f>Expenses!AV10</f>
        <v/>
      </c>
      <c r="AW16" s="282">
        <f>Expenses!AW10</f>
        <v/>
      </c>
      <c r="AX16" s="282">
        <f>Expenses!AX10</f>
        <v/>
      </c>
      <c r="AY16" s="282">
        <f>Expenses!AY10</f>
        <v/>
      </c>
      <c r="AZ16" s="282">
        <f>Expenses!AZ10</f>
        <v/>
      </c>
      <c r="BA16" s="282">
        <f>SUM(AO16:AZ16)</f>
        <v/>
      </c>
      <c r="BB16" s="282">
        <f>Expenses!BB10</f>
        <v/>
      </c>
      <c r="BC16" s="282">
        <f>Expenses!BC10</f>
        <v/>
      </c>
      <c r="BD16" s="282">
        <f>Expenses!BD10</f>
        <v/>
      </c>
      <c r="BE16" s="282">
        <f>Expenses!BE10</f>
        <v/>
      </c>
      <c r="BF16" s="282">
        <f>Expenses!BF10</f>
        <v/>
      </c>
      <c r="BG16" s="282">
        <f>Expenses!BG10</f>
        <v/>
      </c>
      <c r="BH16" s="282">
        <f>Expenses!BH10</f>
        <v/>
      </c>
      <c r="BI16" s="282">
        <f>Expenses!BI10</f>
        <v/>
      </c>
      <c r="BJ16" s="282">
        <f>Expenses!BJ10</f>
        <v/>
      </c>
      <c r="BK16" s="282">
        <f>Expenses!BK10</f>
        <v/>
      </c>
      <c r="BL16" s="282">
        <f>Expenses!BL10</f>
        <v/>
      </c>
      <c r="BM16" s="282">
        <f>Expenses!BM10</f>
        <v/>
      </c>
      <c r="BN16" s="282">
        <f>SUM(BB16:BM16)</f>
        <v/>
      </c>
    </row>
    <row r="17" ht="15" customHeight="1" s="82">
      <c r="A17" s="144" t="inlineStr">
        <is>
          <t>(-) Administrative expenses</t>
        </is>
      </c>
      <c r="B17" s="282">
        <f>Expenses!B11</f>
        <v/>
      </c>
      <c r="C17" s="282">
        <f>Expenses!C11</f>
        <v/>
      </c>
      <c r="D17" s="282">
        <f>Expenses!D11</f>
        <v/>
      </c>
      <c r="E17" s="282">
        <f>Expenses!E11</f>
        <v/>
      </c>
      <c r="F17" s="282">
        <f>Expenses!F11</f>
        <v/>
      </c>
      <c r="G17" s="282">
        <f>Expenses!G11</f>
        <v/>
      </c>
      <c r="H17" s="282">
        <f>Expenses!H11</f>
        <v/>
      </c>
      <c r="I17" s="282">
        <f>Expenses!I11</f>
        <v/>
      </c>
      <c r="J17" s="282">
        <f>Expenses!J11</f>
        <v/>
      </c>
      <c r="K17" s="282">
        <f>Expenses!K11</f>
        <v/>
      </c>
      <c r="L17" s="282">
        <f>Expenses!L11</f>
        <v/>
      </c>
      <c r="M17" s="282">
        <f>Expenses!M11</f>
        <v/>
      </c>
      <c r="N17" s="282">
        <f>SUM(B17:M17)</f>
        <v/>
      </c>
      <c r="O17" s="282">
        <f>Expenses!O11</f>
        <v/>
      </c>
      <c r="P17" s="282">
        <f>Expenses!P11</f>
        <v/>
      </c>
      <c r="Q17" s="282">
        <f>Expenses!Q11</f>
        <v/>
      </c>
      <c r="R17" s="282">
        <f>Expenses!R11</f>
        <v/>
      </c>
      <c r="S17" s="282">
        <f>Expenses!S11</f>
        <v/>
      </c>
      <c r="T17" s="282">
        <f>Expenses!T11</f>
        <v/>
      </c>
      <c r="U17" s="282">
        <f>Expenses!U11</f>
        <v/>
      </c>
      <c r="V17" s="282">
        <f>Expenses!V11</f>
        <v/>
      </c>
      <c r="W17" s="282">
        <f>Expenses!W11</f>
        <v/>
      </c>
      <c r="X17" s="282">
        <f>Expenses!X11</f>
        <v/>
      </c>
      <c r="Y17" s="282">
        <f>Expenses!Y11</f>
        <v/>
      </c>
      <c r="Z17" s="282">
        <f>Expenses!Z11</f>
        <v/>
      </c>
      <c r="AA17" s="282">
        <f>SUM(O17:Z17)</f>
        <v/>
      </c>
      <c r="AB17" s="282">
        <f>Expenses!AB11</f>
        <v/>
      </c>
      <c r="AC17" s="282">
        <f>Expenses!AC11</f>
        <v/>
      </c>
      <c r="AD17" s="282">
        <f>Expenses!AD11</f>
        <v/>
      </c>
      <c r="AE17" s="282">
        <f>Expenses!AE11</f>
        <v/>
      </c>
      <c r="AF17" s="282">
        <f>Expenses!AF11</f>
        <v/>
      </c>
      <c r="AG17" s="282">
        <f>Expenses!AG11</f>
        <v/>
      </c>
      <c r="AH17" s="282">
        <f>Expenses!AH11</f>
        <v/>
      </c>
      <c r="AI17" s="282">
        <f>Expenses!AI11</f>
        <v/>
      </c>
      <c r="AJ17" s="282">
        <f>Expenses!AJ11</f>
        <v/>
      </c>
      <c r="AK17" s="282">
        <f>Expenses!AK11</f>
        <v/>
      </c>
      <c r="AL17" s="282">
        <f>Expenses!AL11</f>
        <v/>
      </c>
      <c r="AM17" s="282">
        <f>Expenses!AM11</f>
        <v/>
      </c>
      <c r="AN17" s="282">
        <f>SUM(AB17:AM17)</f>
        <v/>
      </c>
      <c r="AO17" s="282">
        <f>Expenses!AO11</f>
        <v/>
      </c>
      <c r="AP17" s="282">
        <f>Expenses!AP11</f>
        <v/>
      </c>
      <c r="AQ17" s="282">
        <f>Expenses!AQ11</f>
        <v/>
      </c>
      <c r="AR17" s="282">
        <f>Expenses!AR11</f>
        <v/>
      </c>
      <c r="AS17" s="282">
        <f>Expenses!AS11</f>
        <v/>
      </c>
      <c r="AT17" s="282">
        <f>Expenses!AT11</f>
        <v/>
      </c>
      <c r="AU17" s="282">
        <f>Expenses!AU11</f>
        <v/>
      </c>
      <c r="AV17" s="282">
        <f>Expenses!AV11</f>
        <v/>
      </c>
      <c r="AW17" s="282">
        <f>Expenses!AW11</f>
        <v/>
      </c>
      <c r="AX17" s="282">
        <f>Expenses!AX11</f>
        <v/>
      </c>
      <c r="AY17" s="282">
        <f>Expenses!AY11</f>
        <v/>
      </c>
      <c r="AZ17" s="282">
        <f>Expenses!AZ11</f>
        <v/>
      </c>
      <c r="BA17" s="282">
        <f>SUM(AO17:AZ17)</f>
        <v/>
      </c>
      <c r="BB17" s="282">
        <f>Expenses!BB11</f>
        <v/>
      </c>
      <c r="BC17" s="282">
        <f>Expenses!BC11</f>
        <v/>
      </c>
      <c r="BD17" s="282">
        <f>Expenses!BD11</f>
        <v/>
      </c>
      <c r="BE17" s="282">
        <f>Expenses!BE11</f>
        <v/>
      </c>
      <c r="BF17" s="282">
        <f>Expenses!BF11</f>
        <v/>
      </c>
      <c r="BG17" s="282">
        <f>Expenses!BG11</f>
        <v/>
      </c>
      <c r="BH17" s="282">
        <f>Expenses!BH11</f>
        <v/>
      </c>
      <c r="BI17" s="282">
        <f>Expenses!BI11</f>
        <v/>
      </c>
      <c r="BJ17" s="282">
        <f>Expenses!BJ11</f>
        <v/>
      </c>
      <c r="BK17" s="282">
        <f>Expenses!BK11</f>
        <v/>
      </c>
      <c r="BL17" s="282">
        <f>Expenses!BL11</f>
        <v/>
      </c>
      <c r="BM17" s="282">
        <f>Expenses!BM11</f>
        <v/>
      </c>
      <c r="BN17" s="282">
        <f>SUM(BB17:BM17)</f>
        <v/>
      </c>
    </row>
    <row r="18" ht="15" customHeight="1" s="82">
      <c r="A18" s="144" t="inlineStr">
        <is>
          <t>(-) Selling &amp; distribution</t>
        </is>
      </c>
      <c r="B18" s="282">
        <f>Expenses!B12</f>
        <v/>
      </c>
      <c r="C18" s="282">
        <f>Expenses!C12</f>
        <v/>
      </c>
      <c r="D18" s="282">
        <f>Expenses!D12</f>
        <v/>
      </c>
      <c r="E18" s="282">
        <f>Expenses!E12</f>
        <v/>
      </c>
      <c r="F18" s="282">
        <f>Expenses!F12</f>
        <v/>
      </c>
      <c r="G18" s="282">
        <f>Expenses!G12</f>
        <v/>
      </c>
      <c r="H18" s="282">
        <f>Expenses!H12</f>
        <v/>
      </c>
      <c r="I18" s="282">
        <f>Expenses!I12</f>
        <v/>
      </c>
      <c r="J18" s="282">
        <f>Expenses!J12</f>
        <v/>
      </c>
      <c r="K18" s="282">
        <f>Expenses!K12</f>
        <v/>
      </c>
      <c r="L18" s="282">
        <f>Expenses!L12</f>
        <v/>
      </c>
      <c r="M18" s="282">
        <f>Expenses!M12</f>
        <v/>
      </c>
      <c r="N18" s="282">
        <f>SUM(B18:M18)</f>
        <v/>
      </c>
      <c r="O18" s="282">
        <f>Expenses!O12</f>
        <v/>
      </c>
      <c r="P18" s="282">
        <f>Expenses!P12</f>
        <v/>
      </c>
      <c r="Q18" s="282">
        <f>Expenses!Q12</f>
        <v/>
      </c>
      <c r="R18" s="282">
        <f>Expenses!R12</f>
        <v/>
      </c>
      <c r="S18" s="282">
        <f>Expenses!S12</f>
        <v/>
      </c>
      <c r="T18" s="282">
        <f>Expenses!T12</f>
        <v/>
      </c>
      <c r="U18" s="282">
        <f>Expenses!U12</f>
        <v/>
      </c>
      <c r="V18" s="282">
        <f>Expenses!V12</f>
        <v/>
      </c>
      <c r="W18" s="282">
        <f>Expenses!W12</f>
        <v/>
      </c>
      <c r="X18" s="282">
        <f>Expenses!X12</f>
        <v/>
      </c>
      <c r="Y18" s="282">
        <f>Expenses!Y12</f>
        <v/>
      </c>
      <c r="Z18" s="282">
        <f>Expenses!Z12</f>
        <v/>
      </c>
      <c r="AA18" s="282">
        <f>SUM(O18:Z18)</f>
        <v/>
      </c>
      <c r="AB18" s="282">
        <f>Expenses!AB12</f>
        <v/>
      </c>
      <c r="AC18" s="282">
        <f>Expenses!AC12</f>
        <v/>
      </c>
      <c r="AD18" s="282">
        <f>Expenses!AD12</f>
        <v/>
      </c>
      <c r="AE18" s="282">
        <f>Expenses!AE12</f>
        <v/>
      </c>
      <c r="AF18" s="282">
        <f>Expenses!AF12</f>
        <v/>
      </c>
      <c r="AG18" s="282">
        <f>Expenses!AG12</f>
        <v/>
      </c>
      <c r="AH18" s="282">
        <f>Expenses!AH12</f>
        <v/>
      </c>
      <c r="AI18" s="282">
        <f>Expenses!AI12</f>
        <v/>
      </c>
      <c r="AJ18" s="282">
        <f>Expenses!AJ12</f>
        <v/>
      </c>
      <c r="AK18" s="282">
        <f>Expenses!AK12</f>
        <v/>
      </c>
      <c r="AL18" s="282">
        <f>Expenses!AL12</f>
        <v/>
      </c>
      <c r="AM18" s="282">
        <f>Expenses!AM12</f>
        <v/>
      </c>
      <c r="AN18" s="282">
        <f>SUM(AB18:AM18)</f>
        <v/>
      </c>
      <c r="AO18" s="282">
        <f>Expenses!AO12</f>
        <v/>
      </c>
      <c r="AP18" s="282">
        <f>Expenses!AP12</f>
        <v/>
      </c>
      <c r="AQ18" s="282">
        <f>Expenses!AQ12</f>
        <v/>
      </c>
      <c r="AR18" s="282">
        <f>Expenses!AR12</f>
        <v/>
      </c>
      <c r="AS18" s="282">
        <f>Expenses!AS12</f>
        <v/>
      </c>
      <c r="AT18" s="282">
        <f>Expenses!AT12</f>
        <v/>
      </c>
      <c r="AU18" s="282">
        <f>Expenses!AU12</f>
        <v/>
      </c>
      <c r="AV18" s="282">
        <f>Expenses!AV12</f>
        <v/>
      </c>
      <c r="AW18" s="282">
        <f>Expenses!AW12</f>
        <v/>
      </c>
      <c r="AX18" s="282">
        <f>Expenses!AX12</f>
        <v/>
      </c>
      <c r="AY18" s="282">
        <f>Expenses!AY12</f>
        <v/>
      </c>
      <c r="AZ18" s="282">
        <f>Expenses!AZ12</f>
        <v/>
      </c>
      <c r="BA18" s="282">
        <f>SUM(AO18:AZ18)</f>
        <v/>
      </c>
      <c r="BB18" s="282">
        <f>Expenses!BB12</f>
        <v/>
      </c>
      <c r="BC18" s="282">
        <f>Expenses!BC12</f>
        <v/>
      </c>
      <c r="BD18" s="282">
        <f>Expenses!BD12</f>
        <v/>
      </c>
      <c r="BE18" s="282">
        <f>Expenses!BE12</f>
        <v/>
      </c>
      <c r="BF18" s="282">
        <f>Expenses!BF12</f>
        <v/>
      </c>
      <c r="BG18" s="282">
        <f>Expenses!BG12</f>
        <v/>
      </c>
      <c r="BH18" s="282">
        <f>Expenses!BH12</f>
        <v/>
      </c>
      <c r="BI18" s="282">
        <f>Expenses!BI12</f>
        <v/>
      </c>
      <c r="BJ18" s="282">
        <f>Expenses!BJ12</f>
        <v/>
      </c>
      <c r="BK18" s="282">
        <f>Expenses!BK12</f>
        <v/>
      </c>
      <c r="BL18" s="282">
        <f>Expenses!BL12</f>
        <v/>
      </c>
      <c r="BM18" s="282">
        <f>Expenses!BM12</f>
        <v/>
      </c>
      <c r="BN18" s="282">
        <f>SUM(BB18:BM18)</f>
        <v/>
      </c>
    </row>
    <row r="19" ht="15" customHeight="1" s="82">
      <c r="A19" s="280" t="inlineStr">
        <is>
          <t>EBITDA</t>
        </is>
      </c>
      <c r="B19" s="281">
        <f>B10-SUM(B11:B18)</f>
        <v/>
      </c>
      <c r="C19" s="281">
        <f>C10-SUM(C11:C18)</f>
        <v/>
      </c>
      <c r="D19" s="281">
        <f>D10-SUM(D11:D18)</f>
        <v/>
      </c>
      <c r="E19" s="281">
        <f>E10-SUM(E11:E18)</f>
        <v/>
      </c>
      <c r="F19" s="281">
        <f>F10-SUM(F11:F18)</f>
        <v/>
      </c>
      <c r="G19" s="281">
        <f>G10-SUM(G11:G18)</f>
        <v/>
      </c>
      <c r="H19" s="281">
        <f>H10-SUM(H11:H18)</f>
        <v/>
      </c>
      <c r="I19" s="281">
        <f>I10-SUM(I11:I18)</f>
        <v/>
      </c>
      <c r="J19" s="281">
        <f>J10-SUM(J11:J18)</f>
        <v/>
      </c>
      <c r="K19" s="281">
        <f>K10-SUM(K11:K18)</f>
        <v/>
      </c>
      <c r="L19" s="281">
        <f>L10-SUM(L11:L18)</f>
        <v/>
      </c>
      <c r="M19" s="281">
        <f>M10-SUM(M11:M18)</f>
        <v/>
      </c>
      <c r="N19" s="281">
        <f>SUM(B19:M19)</f>
        <v/>
      </c>
      <c r="O19" s="281">
        <f>O10-SUM(O11:O18)</f>
        <v/>
      </c>
      <c r="P19" s="281">
        <f>P10-SUM(P11:P18)</f>
        <v/>
      </c>
      <c r="Q19" s="281">
        <f>Q10-SUM(Q11:Q18)</f>
        <v/>
      </c>
      <c r="R19" s="281">
        <f>R10-SUM(R11:R18)</f>
        <v/>
      </c>
      <c r="S19" s="281">
        <f>S10-SUM(S11:S18)</f>
        <v/>
      </c>
      <c r="T19" s="281">
        <f>T10-SUM(T11:T18)</f>
        <v/>
      </c>
      <c r="U19" s="281">
        <f>U10-SUM(U11:U18)</f>
        <v/>
      </c>
      <c r="V19" s="281">
        <f>V10-SUM(V11:V18)</f>
        <v/>
      </c>
      <c r="W19" s="281">
        <f>W10-SUM(W11:W18)</f>
        <v/>
      </c>
      <c r="X19" s="281">
        <f>X10-SUM(X11:X18)</f>
        <v/>
      </c>
      <c r="Y19" s="281">
        <f>Y10-SUM(Y11:Y18)</f>
        <v/>
      </c>
      <c r="Z19" s="281">
        <f>Z10-SUM(Z11:Z18)</f>
        <v/>
      </c>
      <c r="AA19" s="281">
        <f>SUM(O19:Z19)</f>
        <v/>
      </c>
      <c r="AB19" s="281">
        <f>AB10-SUM(AB11:AB18)</f>
        <v/>
      </c>
      <c r="AC19" s="281">
        <f>AC10-SUM(AC11:AC18)</f>
        <v/>
      </c>
      <c r="AD19" s="281">
        <f>AD10-SUM(AD11:AD18)</f>
        <v/>
      </c>
      <c r="AE19" s="281">
        <f>AE10-SUM(AE11:AE18)</f>
        <v/>
      </c>
      <c r="AF19" s="281">
        <f>AF10-SUM(AF11:AF18)</f>
        <v/>
      </c>
      <c r="AG19" s="281">
        <f>AG10-SUM(AG11:AG18)</f>
        <v/>
      </c>
      <c r="AH19" s="281">
        <f>AH10-SUM(AH11:AH18)</f>
        <v/>
      </c>
      <c r="AI19" s="281">
        <f>AI10-SUM(AI11:AI18)</f>
        <v/>
      </c>
      <c r="AJ19" s="281">
        <f>AJ10-SUM(AJ11:AJ18)</f>
        <v/>
      </c>
      <c r="AK19" s="281">
        <f>AK10-SUM(AK11:AK18)</f>
        <v/>
      </c>
      <c r="AL19" s="281">
        <f>AL10-SUM(AL11:AL18)</f>
        <v/>
      </c>
      <c r="AM19" s="281">
        <f>AM10-SUM(AM11:AM18)</f>
        <v/>
      </c>
      <c r="AN19" s="281">
        <f>SUM(AB19:AM19)</f>
        <v/>
      </c>
      <c r="AO19" s="281">
        <f>AO10-SUM(AO11:AO18)</f>
        <v/>
      </c>
      <c r="AP19" s="281">
        <f>AP10-SUM(AP11:AP18)</f>
        <v/>
      </c>
      <c r="AQ19" s="281">
        <f>AQ10-SUM(AQ11:AQ18)</f>
        <v/>
      </c>
      <c r="AR19" s="281">
        <f>AR10-SUM(AR11:AR18)</f>
        <v/>
      </c>
      <c r="AS19" s="281">
        <f>AS10-SUM(AS11:AS18)</f>
        <v/>
      </c>
      <c r="AT19" s="281">
        <f>AT10-SUM(AT11:AT18)</f>
        <v/>
      </c>
      <c r="AU19" s="281">
        <f>AU10-SUM(AU11:AU18)</f>
        <v/>
      </c>
      <c r="AV19" s="281">
        <f>AV10-SUM(AV11:AV18)</f>
        <v/>
      </c>
      <c r="AW19" s="281">
        <f>AW10-SUM(AW11:AW18)</f>
        <v/>
      </c>
      <c r="AX19" s="281">
        <f>AX10-SUM(AX11:AX18)</f>
        <v/>
      </c>
      <c r="AY19" s="281">
        <f>AY10-SUM(AY11:AY18)</f>
        <v/>
      </c>
      <c r="AZ19" s="281">
        <f>AZ10-SUM(AZ11:AZ18)</f>
        <v/>
      </c>
      <c r="BA19" s="281">
        <f>SUM(AO19:AZ19)</f>
        <v/>
      </c>
      <c r="BB19" s="281">
        <f>BB10-SUM(BB11:BB18)</f>
        <v/>
      </c>
      <c r="BC19" s="281">
        <f>BC10-SUM(BC11:BC18)</f>
        <v/>
      </c>
      <c r="BD19" s="281">
        <f>BD10-SUM(BD11:BD18)</f>
        <v/>
      </c>
      <c r="BE19" s="281">
        <f>BE10-SUM(BE11:BE18)</f>
        <v/>
      </c>
      <c r="BF19" s="281">
        <f>BF10-SUM(BF11:BF18)</f>
        <v/>
      </c>
      <c r="BG19" s="281">
        <f>BG10-SUM(BG11:BG18)</f>
        <v/>
      </c>
      <c r="BH19" s="281">
        <f>BH10-SUM(BH11:BH18)</f>
        <v/>
      </c>
      <c r="BI19" s="281">
        <f>BI10-SUM(BI11:BI18)</f>
        <v/>
      </c>
      <c r="BJ19" s="281">
        <f>BJ10-SUM(BJ11:BJ18)</f>
        <v/>
      </c>
      <c r="BK19" s="281">
        <f>BK10-SUM(BK11:BK18)</f>
        <v/>
      </c>
      <c r="BL19" s="281">
        <f>BL10-SUM(BL11:BL18)</f>
        <v/>
      </c>
      <c r="BM19" s="281">
        <f>BM10-SUM(BM11:BM18)</f>
        <v/>
      </c>
      <c r="BN19" s="281">
        <f>SUM(BB19:BM19)</f>
        <v/>
      </c>
    </row>
    <row r="20" ht="15" customHeight="1" s="82">
      <c r="A20" s="144" t="inlineStr">
        <is>
          <t>(-) Depreciation</t>
        </is>
      </c>
      <c r="B20" s="282">
        <f>Expenses!B13</f>
        <v/>
      </c>
      <c r="C20" s="282">
        <f>Expenses!C13</f>
        <v/>
      </c>
      <c r="D20" s="282">
        <f>Expenses!D13</f>
        <v/>
      </c>
      <c r="E20" s="282">
        <f>Expenses!E13</f>
        <v/>
      </c>
      <c r="F20" s="282">
        <f>Expenses!F13</f>
        <v/>
      </c>
      <c r="G20" s="282">
        <f>Expenses!G13</f>
        <v/>
      </c>
      <c r="H20" s="282">
        <f>Expenses!H13</f>
        <v/>
      </c>
      <c r="I20" s="282">
        <f>Expenses!I13</f>
        <v/>
      </c>
      <c r="J20" s="282">
        <f>Expenses!J13</f>
        <v/>
      </c>
      <c r="K20" s="282">
        <f>Expenses!K13</f>
        <v/>
      </c>
      <c r="L20" s="282">
        <f>Expenses!L13</f>
        <v/>
      </c>
      <c r="M20" s="282">
        <f>Expenses!M13</f>
        <v/>
      </c>
      <c r="N20" s="282">
        <f>SUM(B20:M20)</f>
        <v/>
      </c>
      <c r="O20" s="282">
        <f>Expenses!O13</f>
        <v/>
      </c>
      <c r="P20" s="282">
        <f>Expenses!P13</f>
        <v/>
      </c>
      <c r="Q20" s="282">
        <f>Expenses!Q13</f>
        <v/>
      </c>
      <c r="R20" s="282">
        <f>Expenses!R13</f>
        <v/>
      </c>
      <c r="S20" s="282">
        <f>Expenses!S13</f>
        <v/>
      </c>
      <c r="T20" s="282">
        <f>Expenses!T13</f>
        <v/>
      </c>
      <c r="U20" s="282">
        <f>Expenses!U13</f>
        <v/>
      </c>
      <c r="V20" s="282">
        <f>Expenses!V13</f>
        <v/>
      </c>
      <c r="W20" s="282">
        <f>Expenses!W13</f>
        <v/>
      </c>
      <c r="X20" s="282">
        <f>Expenses!X13</f>
        <v/>
      </c>
      <c r="Y20" s="282">
        <f>Expenses!Y13</f>
        <v/>
      </c>
      <c r="Z20" s="282">
        <f>Expenses!Z13</f>
        <v/>
      </c>
      <c r="AA20" s="282">
        <f>SUM(O20:Z20)</f>
        <v/>
      </c>
      <c r="AB20" s="282">
        <f>Expenses!AB13</f>
        <v/>
      </c>
      <c r="AC20" s="282">
        <f>Expenses!AC13</f>
        <v/>
      </c>
      <c r="AD20" s="282">
        <f>Expenses!AD13</f>
        <v/>
      </c>
      <c r="AE20" s="282">
        <f>Expenses!AE13</f>
        <v/>
      </c>
      <c r="AF20" s="282">
        <f>Expenses!AF13</f>
        <v/>
      </c>
      <c r="AG20" s="282">
        <f>Expenses!AG13</f>
        <v/>
      </c>
      <c r="AH20" s="282">
        <f>Expenses!AH13</f>
        <v/>
      </c>
      <c r="AI20" s="282">
        <f>Expenses!AI13</f>
        <v/>
      </c>
      <c r="AJ20" s="282">
        <f>Expenses!AJ13</f>
        <v/>
      </c>
      <c r="AK20" s="282">
        <f>Expenses!AK13</f>
        <v/>
      </c>
      <c r="AL20" s="282">
        <f>Expenses!AL13</f>
        <v/>
      </c>
      <c r="AM20" s="282">
        <f>Expenses!AM13</f>
        <v/>
      </c>
      <c r="AN20" s="282">
        <f>SUM(AB20:AM20)</f>
        <v/>
      </c>
      <c r="AO20" s="282">
        <f>Expenses!AO13</f>
        <v/>
      </c>
      <c r="AP20" s="282">
        <f>Expenses!AP13</f>
        <v/>
      </c>
      <c r="AQ20" s="282">
        <f>Expenses!AQ13</f>
        <v/>
      </c>
      <c r="AR20" s="282">
        <f>Expenses!AR13</f>
        <v/>
      </c>
      <c r="AS20" s="282">
        <f>Expenses!AS13</f>
        <v/>
      </c>
      <c r="AT20" s="282">
        <f>Expenses!AT13</f>
        <v/>
      </c>
      <c r="AU20" s="282">
        <f>Expenses!AU13</f>
        <v/>
      </c>
      <c r="AV20" s="282">
        <f>Expenses!AV13</f>
        <v/>
      </c>
      <c r="AW20" s="282">
        <f>Expenses!AW13</f>
        <v/>
      </c>
      <c r="AX20" s="282">
        <f>Expenses!AX13</f>
        <v/>
      </c>
      <c r="AY20" s="282">
        <f>Expenses!AY13</f>
        <v/>
      </c>
      <c r="AZ20" s="282">
        <f>Expenses!AZ13</f>
        <v/>
      </c>
      <c r="BA20" s="282">
        <f>SUM(AO20:AZ20)</f>
        <v/>
      </c>
      <c r="BB20" s="282">
        <f>Expenses!BB13</f>
        <v/>
      </c>
      <c r="BC20" s="282">
        <f>Expenses!BC13</f>
        <v/>
      </c>
      <c r="BD20" s="282">
        <f>Expenses!BD13</f>
        <v/>
      </c>
      <c r="BE20" s="282">
        <f>Expenses!BE13</f>
        <v/>
      </c>
      <c r="BF20" s="282">
        <f>Expenses!BF13</f>
        <v/>
      </c>
      <c r="BG20" s="282">
        <f>Expenses!BG13</f>
        <v/>
      </c>
      <c r="BH20" s="282">
        <f>Expenses!BH13</f>
        <v/>
      </c>
      <c r="BI20" s="282">
        <f>Expenses!BI13</f>
        <v/>
      </c>
      <c r="BJ20" s="282">
        <f>Expenses!BJ13</f>
        <v/>
      </c>
      <c r="BK20" s="282">
        <f>Expenses!BK13</f>
        <v/>
      </c>
      <c r="BL20" s="282">
        <f>Expenses!BL13</f>
        <v/>
      </c>
      <c r="BM20" s="282">
        <f>Expenses!BM13</f>
        <v/>
      </c>
      <c r="BN20" s="282">
        <f>SUM(BB20:BM20)</f>
        <v/>
      </c>
    </row>
    <row r="21" ht="15" customHeight="1" s="82">
      <c r="A21" s="280" t="inlineStr">
        <is>
          <t>EBIT (Operating Profit)</t>
        </is>
      </c>
      <c r="B21" s="281">
        <f>B19-B20</f>
        <v/>
      </c>
      <c r="C21" s="281">
        <f>C19-C20</f>
        <v/>
      </c>
      <c r="D21" s="281">
        <f>D19-D20</f>
        <v/>
      </c>
      <c r="E21" s="281">
        <f>E19-E20</f>
        <v/>
      </c>
      <c r="F21" s="281">
        <f>F19-F20</f>
        <v/>
      </c>
      <c r="G21" s="281">
        <f>G19-G20</f>
        <v/>
      </c>
      <c r="H21" s="281">
        <f>H19-H20</f>
        <v/>
      </c>
      <c r="I21" s="281">
        <f>I19-I20</f>
        <v/>
      </c>
      <c r="J21" s="281">
        <f>J19-J20</f>
        <v/>
      </c>
      <c r="K21" s="281">
        <f>K19-K20</f>
        <v/>
      </c>
      <c r="L21" s="281">
        <f>L19-L20</f>
        <v/>
      </c>
      <c r="M21" s="281">
        <f>M19-M20</f>
        <v/>
      </c>
      <c r="N21" s="281">
        <f>SUM(B21:M21)</f>
        <v/>
      </c>
      <c r="O21" s="281">
        <f>O19-O20</f>
        <v/>
      </c>
      <c r="P21" s="281">
        <f>P19-P20</f>
        <v/>
      </c>
      <c r="Q21" s="281">
        <f>Q19-Q20</f>
        <v/>
      </c>
      <c r="R21" s="281">
        <f>R19-R20</f>
        <v/>
      </c>
      <c r="S21" s="281">
        <f>S19-S20</f>
        <v/>
      </c>
      <c r="T21" s="281">
        <f>T19-T20</f>
        <v/>
      </c>
      <c r="U21" s="281">
        <f>U19-U20</f>
        <v/>
      </c>
      <c r="V21" s="281">
        <f>V19-V20</f>
        <v/>
      </c>
      <c r="W21" s="281">
        <f>W19-W20</f>
        <v/>
      </c>
      <c r="X21" s="281">
        <f>X19-X20</f>
        <v/>
      </c>
      <c r="Y21" s="281">
        <f>Y19-Y20</f>
        <v/>
      </c>
      <c r="Z21" s="281">
        <f>Z19-Z20</f>
        <v/>
      </c>
      <c r="AA21" s="281">
        <f>SUM(O21:Z21)</f>
        <v/>
      </c>
      <c r="AB21" s="281">
        <f>AB19-AB20</f>
        <v/>
      </c>
      <c r="AC21" s="281">
        <f>AC19-AC20</f>
        <v/>
      </c>
      <c r="AD21" s="281">
        <f>AD19-AD20</f>
        <v/>
      </c>
      <c r="AE21" s="281">
        <f>AE19-AE20</f>
        <v/>
      </c>
      <c r="AF21" s="281">
        <f>AF19-AF20</f>
        <v/>
      </c>
      <c r="AG21" s="281">
        <f>AG19-AG20</f>
        <v/>
      </c>
      <c r="AH21" s="281">
        <f>AH19-AH20</f>
        <v/>
      </c>
      <c r="AI21" s="281">
        <f>AI19-AI20</f>
        <v/>
      </c>
      <c r="AJ21" s="281">
        <f>AJ19-AJ20</f>
        <v/>
      </c>
      <c r="AK21" s="281">
        <f>AK19-AK20</f>
        <v/>
      </c>
      <c r="AL21" s="281">
        <f>AL19-AL20</f>
        <v/>
      </c>
      <c r="AM21" s="281">
        <f>AM19-AM20</f>
        <v/>
      </c>
      <c r="AN21" s="281">
        <f>SUM(AB21:AM21)</f>
        <v/>
      </c>
      <c r="AO21" s="281">
        <f>AO19-AO20</f>
        <v/>
      </c>
      <c r="AP21" s="281">
        <f>AP19-AP20</f>
        <v/>
      </c>
      <c r="AQ21" s="281">
        <f>AQ19-AQ20</f>
        <v/>
      </c>
      <c r="AR21" s="281">
        <f>AR19-AR20</f>
        <v/>
      </c>
      <c r="AS21" s="281">
        <f>AS19-AS20</f>
        <v/>
      </c>
      <c r="AT21" s="281">
        <f>AT19-AT20</f>
        <v/>
      </c>
      <c r="AU21" s="281">
        <f>AU19-AU20</f>
        <v/>
      </c>
      <c r="AV21" s="281">
        <f>AV19-AV20</f>
        <v/>
      </c>
      <c r="AW21" s="281">
        <f>AW19-AW20</f>
        <v/>
      </c>
      <c r="AX21" s="281">
        <f>AX19-AX20</f>
        <v/>
      </c>
      <c r="AY21" s="281">
        <f>AY19-AY20</f>
        <v/>
      </c>
      <c r="AZ21" s="281">
        <f>AZ19-AZ20</f>
        <v/>
      </c>
      <c r="BA21" s="281">
        <f>SUM(AO21:AZ21)</f>
        <v/>
      </c>
      <c r="BB21" s="281">
        <f>BB19-BB20</f>
        <v/>
      </c>
      <c r="BC21" s="281">
        <f>BC19-BC20</f>
        <v/>
      </c>
      <c r="BD21" s="281">
        <f>BD19-BD20</f>
        <v/>
      </c>
      <c r="BE21" s="281">
        <f>BE19-BE20</f>
        <v/>
      </c>
      <c r="BF21" s="281">
        <f>BF19-BF20</f>
        <v/>
      </c>
      <c r="BG21" s="281">
        <f>BG19-BG20</f>
        <v/>
      </c>
      <c r="BH21" s="281">
        <f>BH19-BH20</f>
        <v/>
      </c>
      <c r="BI21" s="281">
        <f>BI19-BI20</f>
        <v/>
      </c>
      <c r="BJ21" s="281">
        <f>BJ19-BJ20</f>
        <v/>
      </c>
      <c r="BK21" s="281">
        <f>BK19-BK20</f>
        <v/>
      </c>
      <c r="BL21" s="281">
        <f>BL19-BL20</f>
        <v/>
      </c>
      <c r="BM21" s="281">
        <f>BM19-BM20</f>
        <v/>
      </c>
      <c r="BN21" s="281">
        <f>SUM(BB21:BM21)</f>
        <v/>
      </c>
    </row>
    <row r="22" ht="15" customHeight="1" s="82">
      <c r="A22" s="144" t="inlineStr">
        <is>
          <t>(-) Interest — Term Loan</t>
        </is>
      </c>
      <c r="B22" s="282">
        <f>Expenses!B14</f>
        <v/>
      </c>
      <c r="C22" s="282">
        <f>Expenses!C14</f>
        <v/>
      </c>
      <c r="D22" s="282">
        <f>Expenses!D14</f>
        <v/>
      </c>
      <c r="E22" s="282">
        <f>Expenses!E14</f>
        <v/>
      </c>
      <c r="F22" s="282">
        <f>Expenses!F14</f>
        <v/>
      </c>
      <c r="G22" s="282">
        <f>Expenses!G14</f>
        <v/>
      </c>
      <c r="H22" s="282">
        <f>Expenses!H14</f>
        <v/>
      </c>
      <c r="I22" s="282">
        <f>Expenses!I14</f>
        <v/>
      </c>
      <c r="J22" s="282">
        <f>Expenses!J14</f>
        <v/>
      </c>
      <c r="K22" s="282">
        <f>Expenses!K14</f>
        <v/>
      </c>
      <c r="L22" s="282">
        <f>Expenses!L14</f>
        <v/>
      </c>
      <c r="M22" s="282">
        <f>Expenses!M14</f>
        <v/>
      </c>
      <c r="N22" s="282">
        <f>SUM(B22:M22)</f>
        <v/>
      </c>
      <c r="O22" s="282">
        <f>Expenses!O14</f>
        <v/>
      </c>
      <c r="P22" s="282">
        <f>Expenses!P14</f>
        <v/>
      </c>
      <c r="Q22" s="282">
        <f>Expenses!Q14</f>
        <v/>
      </c>
      <c r="R22" s="282">
        <f>Expenses!R14</f>
        <v/>
      </c>
      <c r="S22" s="282">
        <f>Expenses!S14</f>
        <v/>
      </c>
      <c r="T22" s="282">
        <f>Expenses!T14</f>
        <v/>
      </c>
      <c r="U22" s="282">
        <f>Expenses!U14</f>
        <v/>
      </c>
      <c r="V22" s="282">
        <f>Expenses!V14</f>
        <v/>
      </c>
      <c r="W22" s="282">
        <f>Expenses!W14</f>
        <v/>
      </c>
      <c r="X22" s="282">
        <f>Expenses!X14</f>
        <v/>
      </c>
      <c r="Y22" s="282">
        <f>Expenses!Y14</f>
        <v/>
      </c>
      <c r="Z22" s="282">
        <f>Expenses!Z14</f>
        <v/>
      </c>
      <c r="AA22" s="282">
        <f>SUM(O22:Z22)</f>
        <v/>
      </c>
      <c r="AB22" s="282">
        <f>Expenses!AB14</f>
        <v/>
      </c>
      <c r="AC22" s="282">
        <f>Expenses!AC14</f>
        <v/>
      </c>
      <c r="AD22" s="282">
        <f>Expenses!AD14</f>
        <v/>
      </c>
      <c r="AE22" s="282">
        <f>Expenses!AE14</f>
        <v/>
      </c>
      <c r="AF22" s="282">
        <f>Expenses!AF14</f>
        <v/>
      </c>
      <c r="AG22" s="282">
        <f>Expenses!AG14</f>
        <v/>
      </c>
      <c r="AH22" s="282">
        <f>Expenses!AH14</f>
        <v/>
      </c>
      <c r="AI22" s="282">
        <f>Expenses!AI14</f>
        <v/>
      </c>
      <c r="AJ22" s="282">
        <f>Expenses!AJ14</f>
        <v/>
      </c>
      <c r="AK22" s="282">
        <f>Expenses!AK14</f>
        <v/>
      </c>
      <c r="AL22" s="282">
        <f>Expenses!AL14</f>
        <v/>
      </c>
      <c r="AM22" s="282">
        <f>Expenses!AM14</f>
        <v/>
      </c>
      <c r="AN22" s="282">
        <f>SUM(AB22:AM22)</f>
        <v/>
      </c>
      <c r="AO22" s="282">
        <f>Expenses!AO14</f>
        <v/>
      </c>
      <c r="AP22" s="282">
        <f>Expenses!AP14</f>
        <v/>
      </c>
      <c r="AQ22" s="282">
        <f>Expenses!AQ14</f>
        <v/>
      </c>
      <c r="AR22" s="282">
        <f>Expenses!AR14</f>
        <v/>
      </c>
      <c r="AS22" s="282">
        <f>Expenses!AS14</f>
        <v/>
      </c>
      <c r="AT22" s="282">
        <f>Expenses!AT14</f>
        <v/>
      </c>
      <c r="AU22" s="282">
        <f>Expenses!AU14</f>
        <v/>
      </c>
      <c r="AV22" s="282">
        <f>Expenses!AV14</f>
        <v/>
      </c>
      <c r="AW22" s="282">
        <f>Expenses!AW14</f>
        <v/>
      </c>
      <c r="AX22" s="282">
        <f>Expenses!AX14</f>
        <v/>
      </c>
      <c r="AY22" s="282">
        <f>Expenses!AY14</f>
        <v/>
      </c>
      <c r="AZ22" s="282">
        <f>Expenses!AZ14</f>
        <v/>
      </c>
      <c r="BA22" s="282">
        <f>SUM(AO22:AZ22)</f>
        <v/>
      </c>
      <c r="BB22" s="282">
        <f>Expenses!BB14</f>
        <v/>
      </c>
      <c r="BC22" s="282">
        <f>Expenses!BC14</f>
        <v/>
      </c>
      <c r="BD22" s="282">
        <f>Expenses!BD14</f>
        <v/>
      </c>
      <c r="BE22" s="282">
        <f>Expenses!BE14</f>
        <v/>
      </c>
      <c r="BF22" s="282">
        <f>Expenses!BF14</f>
        <v/>
      </c>
      <c r="BG22" s="282">
        <f>Expenses!BG14</f>
        <v/>
      </c>
      <c r="BH22" s="282">
        <f>Expenses!BH14</f>
        <v/>
      </c>
      <c r="BI22" s="282">
        <f>Expenses!BI14</f>
        <v/>
      </c>
      <c r="BJ22" s="282">
        <f>Expenses!BJ14</f>
        <v/>
      </c>
      <c r="BK22" s="282">
        <f>Expenses!BK14</f>
        <v/>
      </c>
      <c r="BL22" s="282">
        <f>Expenses!BL14</f>
        <v/>
      </c>
      <c r="BM22" s="282">
        <f>Expenses!BM14</f>
        <v/>
      </c>
      <c r="BN22" s="282">
        <f>SUM(BB22:BM22)</f>
        <v/>
      </c>
    </row>
    <row r="23">
      <c r="A23" s="144" t="inlineStr">
        <is>
          <t>(-) Interest — Working Capital</t>
        </is>
      </c>
      <c r="B23" s="282">
        <f>Expenses!B15</f>
        <v/>
      </c>
      <c r="C23" s="282">
        <f>Expenses!C15</f>
        <v/>
      </c>
      <c r="D23" s="282">
        <f>Expenses!D15</f>
        <v/>
      </c>
      <c r="E23" s="282">
        <f>Expenses!E15</f>
        <v/>
      </c>
      <c r="F23" s="282">
        <f>Expenses!F15</f>
        <v/>
      </c>
      <c r="G23" s="282">
        <f>Expenses!G15</f>
        <v/>
      </c>
      <c r="H23" s="282">
        <f>Expenses!H15</f>
        <v/>
      </c>
      <c r="I23" s="282">
        <f>Expenses!I15</f>
        <v/>
      </c>
      <c r="J23" s="282">
        <f>Expenses!J15</f>
        <v/>
      </c>
      <c r="K23" s="282">
        <f>Expenses!K15</f>
        <v/>
      </c>
      <c r="L23" s="282">
        <f>Expenses!L15</f>
        <v/>
      </c>
      <c r="M23" s="282">
        <f>Expenses!M15</f>
        <v/>
      </c>
      <c r="N23" s="282">
        <f>SUM(B23:M23)</f>
        <v/>
      </c>
      <c r="O23" s="282">
        <f>Expenses!O15</f>
        <v/>
      </c>
      <c r="P23" s="282">
        <f>Expenses!P15</f>
        <v/>
      </c>
      <c r="Q23" s="282">
        <f>Expenses!Q15</f>
        <v/>
      </c>
      <c r="R23" s="282">
        <f>Expenses!R15</f>
        <v/>
      </c>
      <c r="S23" s="282">
        <f>Expenses!S15</f>
        <v/>
      </c>
      <c r="T23" s="282">
        <f>Expenses!T15</f>
        <v/>
      </c>
      <c r="U23" s="282">
        <f>Expenses!U15</f>
        <v/>
      </c>
      <c r="V23" s="282">
        <f>Expenses!V15</f>
        <v/>
      </c>
      <c r="W23" s="282">
        <f>Expenses!W15</f>
        <v/>
      </c>
      <c r="X23" s="282">
        <f>Expenses!X15</f>
        <v/>
      </c>
      <c r="Y23" s="282">
        <f>Expenses!Y15</f>
        <v/>
      </c>
      <c r="Z23" s="282">
        <f>Expenses!Z15</f>
        <v/>
      </c>
      <c r="AA23" s="282">
        <f>SUM(O23:Z23)</f>
        <v/>
      </c>
      <c r="AB23" s="282">
        <f>Expenses!AB15</f>
        <v/>
      </c>
      <c r="AC23" s="282">
        <f>Expenses!AC15</f>
        <v/>
      </c>
      <c r="AD23" s="282">
        <f>Expenses!AD15</f>
        <v/>
      </c>
      <c r="AE23" s="282">
        <f>Expenses!AE15</f>
        <v/>
      </c>
      <c r="AF23" s="282">
        <f>Expenses!AF15</f>
        <v/>
      </c>
      <c r="AG23" s="282">
        <f>Expenses!AG15</f>
        <v/>
      </c>
      <c r="AH23" s="282">
        <f>Expenses!AH15</f>
        <v/>
      </c>
      <c r="AI23" s="282">
        <f>Expenses!AI15</f>
        <v/>
      </c>
      <c r="AJ23" s="282">
        <f>Expenses!AJ15</f>
        <v/>
      </c>
      <c r="AK23" s="282">
        <f>Expenses!AK15</f>
        <v/>
      </c>
      <c r="AL23" s="282">
        <f>Expenses!AL15</f>
        <v/>
      </c>
      <c r="AM23" s="282">
        <f>Expenses!AM15</f>
        <v/>
      </c>
      <c r="AN23" s="282">
        <f>SUM(AB23:AM23)</f>
        <v/>
      </c>
      <c r="AO23" s="282">
        <f>Expenses!AO15</f>
        <v/>
      </c>
      <c r="AP23" s="282">
        <f>Expenses!AP15</f>
        <v/>
      </c>
      <c r="AQ23" s="282">
        <f>Expenses!AQ15</f>
        <v/>
      </c>
      <c r="AR23" s="282">
        <f>Expenses!AR15</f>
        <v/>
      </c>
      <c r="AS23" s="282">
        <f>Expenses!AS15</f>
        <v/>
      </c>
      <c r="AT23" s="282">
        <f>Expenses!AT15</f>
        <v/>
      </c>
      <c r="AU23" s="282">
        <f>Expenses!AU15</f>
        <v/>
      </c>
      <c r="AV23" s="282">
        <f>Expenses!AV15</f>
        <v/>
      </c>
      <c r="AW23" s="282">
        <f>Expenses!AW15</f>
        <v/>
      </c>
      <c r="AX23" s="282">
        <f>Expenses!AX15</f>
        <v/>
      </c>
      <c r="AY23" s="282">
        <f>Expenses!AY15</f>
        <v/>
      </c>
      <c r="AZ23" s="282">
        <f>Expenses!AZ15</f>
        <v/>
      </c>
      <c r="BA23" s="282">
        <f>SUM(AO23:AZ23)</f>
        <v/>
      </c>
      <c r="BB23" s="282">
        <f>Expenses!BB15</f>
        <v/>
      </c>
      <c r="BC23" s="282">
        <f>Expenses!BC15</f>
        <v/>
      </c>
      <c r="BD23" s="282">
        <f>Expenses!BD15</f>
        <v/>
      </c>
      <c r="BE23" s="282">
        <f>Expenses!BE15</f>
        <v/>
      </c>
      <c r="BF23" s="282">
        <f>Expenses!BF15</f>
        <v/>
      </c>
      <c r="BG23" s="282">
        <f>Expenses!BG15</f>
        <v/>
      </c>
      <c r="BH23" s="282">
        <f>Expenses!BH15</f>
        <v/>
      </c>
      <c r="BI23" s="282">
        <f>Expenses!BI15</f>
        <v/>
      </c>
      <c r="BJ23" s="282">
        <f>Expenses!BJ15</f>
        <v/>
      </c>
      <c r="BK23" s="282">
        <f>Expenses!BK15</f>
        <v/>
      </c>
      <c r="BL23" s="282">
        <f>Expenses!BL15</f>
        <v/>
      </c>
      <c r="BM23" s="282">
        <f>Expenses!BM15</f>
        <v/>
      </c>
      <c r="BN23" s="282">
        <f>SUM(BB23:BM23)</f>
        <v/>
      </c>
    </row>
    <row r="24">
      <c r="A24" s="280" t="inlineStr">
        <is>
          <t>Profit Before Tax (PBT)</t>
        </is>
      </c>
      <c r="B24" s="281">
        <f>B21-B22-B23</f>
        <v/>
      </c>
      <c r="C24" s="281">
        <f>C21-C22-C23</f>
        <v/>
      </c>
      <c r="D24" s="281">
        <f>D21-D22-D23</f>
        <v/>
      </c>
      <c r="E24" s="281">
        <f>E21-E22-E23</f>
        <v/>
      </c>
      <c r="F24" s="281">
        <f>F21-F22-F23</f>
        <v/>
      </c>
      <c r="G24" s="281">
        <f>G21-G22-G23</f>
        <v/>
      </c>
      <c r="H24" s="281">
        <f>H21-H22-H23</f>
        <v/>
      </c>
      <c r="I24" s="281">
        <f>I21-I22-I23</f>
        <v/>
      </c>
      <c r="J24" s="281">
        <f>J21-J22-J23</f>
        <v/>
      </c>
      <c r="K24" s="281">
        <f>K21-K22-K23</f>
        <v/>
      </c>
      <c r="L24" s="281">
        <f>L21-L22-L23</f>
        <v/>
      </c>
      <c r="M24" s="281">
        <f>M21-M22-M23</f>
        <v/>
      </c>
      <c r="N24" s="281">
        <f>SUM(B24:M24)</f>
        <v/>
      </c>
      <c r="O24" s="281">
        <f>O21-O22-O23</f>
        <v/>
      </c>
      <c r="P24" s="281">
        <f>P21-P22-P23</f>
        <v/>
      </c>
      <c r="Q24" s="281">
        <f>Q21-Q22-Q23</f>
        <v/>
      </c>
      <c r="R24" s="281">
        <f>R21-R22-R23</f>
        <v/>
      </c>
      <c r="S24" s="281">
        <f>S21-S22-S23</f>
        <v/>
      </c>
      <c r="T24" s="281">
        <f>T21-T22-T23</f>
        <v/>
      </c>
      <c r="U24" s="281">
        <f>U21-U22-U23</f>
        <v/>
      </c>
      <c r="V24" s="281">
        <f>V21-V22-V23</f>
        <v/>
      </c>
      <c r="W24" s="281">
        <f>W21-W22-W23</f>
        <v/>
      </c>
      <c r="X24" s="281">
        <f>X21-X22-X23</f>
        <v/>
      </c>
      <c r="Y24" s="281">
        <f>Y21-Y22-Y23</f>
        <v/>
      </c>
      <c r="Z24" s="281">
        <f>Z21-Z22-Z23</f>
        <v/>
      </c>
      <c r="AA24" s="281">
        <f>SUM(O24:Z24)</f>
        <v/>
      </c>
      <c r="AB24" s="281">
        <f>AB21-AB22-AB23</f>
        <v/>
      </c>
      <c r="AC24" s="281">
        <f>AC21-AC22-AC23</f>
        <v/>
      </c>
      <c r="AD24" s="281">
        <f>AD21-AD22-AD23</f>
        <v/>
      </c>
      <c r="AE24" s="281">
        <f>AE21-AE22-AE23</f>
        <v/>
      </c>
      <c r="AF24" s="281">
        <f>AF21-AF22-AF23</f>
        <v/>
      </c>
      <c r="AG24" s="281">
        <f>AG21-AG22-AG23</f>
        <v/>
      </c>
      <c r="AH24" s="281">
        <f>AH21-AH22-AH23</f>
        <v/>
      </c>
      <c r="AI24" s="281">
        <f>AI21-AI22-AI23</f>
        <v/>
      </c>
      <c r="AJ24" s="281">
        <f>AJ21-AJ22-AJ23</f>
        <v/>
      </c>
      <c r="AK24" s="281">
        <f>AK21-AK22-AK23</f>
        <v/>
      </c>
      <c r="AL24" s="281">
        <f>AL21-AL22-AL23</f>
        <v/>
      </c>
      <c r="AM24" s="281">
        <f>AM21-AM22-AM23</f>
        <v/>
      </c>
      <c r="AN24" s="281">
        <f>SUM(AB24:AM24)</f>
        <v/>
      </c>
      <c r="AO24" s="281">
        <f>AO21-AO22-AO23</f>
        <v/>
      </c>
      <c r="AP24" s="281">
        <f>AP21-AP22-AP23</f>
        <v/>
      </c>
      <c r="AQ24" s="281">
        <f>AQ21-AQ22-AQ23</f>
        <v/>
      </c>
      <c r="AR24" s="281">
        <f>AR21-AR22-AR23</f>
        <v/>
      </c>
      <c r="AS24" s="281">
        <f>AS21-AS22-AS23</f>
        <v/>
      </c>
      <c r="AT24" s="281">
        <f>AT21-AT22-AT23</f>
        <v/>
      </c>
      <c r="AU24" s="281">
        <f>AU21-AU22-AU23</f>
        <v/>
      </c>
      <c r="AV24" s="281">
        <f>AV21-AV22-AV23</f>
        <v/>
      </c>
      <c r="AW24" s="281">
        <f>AW21-AW22-AW23</f>
        <v/>
      </c>
      <c r="AX24" s="281">
        <f>AX21-AX22-AX23</f>
        <v/>
      </c>
      <c r="AY24" s="281">
        <f>AY21-AY22-AY23</f>
        <v/>
      </c>
      <c r="AZ24" s="281">
        <f>AZ21-AZ22-AZ23</f>
        <v/>
      </c>
      <c r="BA24" s="281">
        <f>SUM(AO24:AZ24)</f>
        <v/>
      </c>
      <c r="BB24" s="281">
        <f>BB21-BB22-BB23</f>
        <v/>
      </c>
      <c r="BC24" s="281">
        <f>BC21-BC22-BC23</f>
        <v/>
      </c>
      <c r="BD24" s="281">
        <f>BD21-BD22-BD23</f>
        <v/>
      </c>
      <c r="BE24" s="281">
        <f>BE21-BE22-BE23</f>
        <v/>
      </c>
      <c r="BF24" s="281">
        <f>BF21-BF22-BF23</f>
        <v/>
      </c>
      <c r="BG24" s="281">
        <f>BG21-BG22-BG23</f>
        <v/>
      </c>
      <c r="BH24" s="281">
        <f>BH21-BH22-BH23</f>
        <v/>
      </c>
      <c r="BI24" s="281">
        <f>BI21-BI22-BI23</f>
        <v/>
      </c>
      <c r="BJ24" s="281">
        <f>BJ21-BJ22-BJ23</f>
        <v/>
      </c>
      <c r="BK24" s="281">
        <f>BK21-BK22-BK23</f>
        <v/>
      </c>
      <c r="BL24" s="281">
        <f>BL21-BL22-BL23</f>
        <v/>
      </c>
      <c r="BM24" s="281">
        <f>BM21-BM22-BM23</f>
        <v/>
      </c>
      <c r="BN24" s="281">
        <f>SUM(BB24:BM24)</f>
        <v/>
      </c>
    </row>
    <row r="25">
      <c r="A25" s="144" t="inlineStr">
        <is>
          <t>(-) Income Tax</t>
        </is>
      </c>
      <c r="B25" s="282">
        <f>IF(B24&gt;0,B24*Assumptions!$C$14,0)</f>
        <v/>
      </c>
      <c r="C25" s="282">
        <f>IF(C24&gt;0,C24*Assumptions!$C$14,0)</f>
        <v/>
      </c>
      <c r="D25" s="282">
        <f>IF(D24&gt;0,D24*Assumptions!$C$14,0)</f>
        <v/>
      </c>
      <c r="E25" s="282">
        <f>IF(E24&gt;0,E24*Assumptions!$C$14,0)</f>
        <v/>
      </c>
      <c r="F25" s="282">
        <f>IF(F24&gt;0,F24*Assumptions!$C$14,0)</f>
        <v/>
      </c>
      <c r="G25" s="282">
        <f>IF(G24&gt;0,G24*Assumptions!$C$14,0)</f>
        <v/>
      </c>
      <c r="H25" s="282">
        <f>IF(H24&gt;0,H24*Assumptions!$C$14,0)</f>
        <v/>
      </c>
      <c r="I25" s="282">
        <f>IF(I24&gt;0,I24*Assumptions!$C$14,0)</f>
        <v/>
      </c>
      <c r="J25" s="282">
        <f>IF(J24&gt;0,J24*Assumptions!$C$14,0)</f>
        <v/>
      </c>
      <c r="K25" s="282">
        <f>IF(K24&gt;0,K24*Assumptions!$C$14,0)</f>
        <v/>
      </c>
      <c r="L25" s="282">
        <f>IF(L24&gt;0,L24*Assumptions!$C$14,0)</f>
        <v/>
      </c>
      <c r="M25" s="282">
        <f>IF(M24&gt;0,M24*Assumptions!$C$14,0)</f>
        <v/>
      </c>
      <c r="N25" s="282">
        <f>IF(N24&gt;0,N24*Assumptions!$C$14,0)</f>
        <v/>
      </c>
      <c r="O25" s="282">
        <f>IF(O24&gt;0,O24*Assumptions!$C$14,0)</f>
        <v/>
      </c>
      <c r="P25" s="282">
        <f>IF(P24&gt;0,P24*Assumptions!$C$14,0)</f>
        <v/>
      </c>
      <c r="Q25" s="282">
        <f>IF(Q24&gt;0,Q24*Assumptions!$C$14,0)</f>
        <v/>
      </c>
      <c r="R25" s="282">
        <f>IF(R24&gt;0,R24*Assumptions!$C$14,0)</f>
        <v/>
      </c>
      <c r="S25" s="282">
        <f>IF(S24&gt;0,S24*Assumptions!$C$14,0)</f>
        <v/>
      </c>
      <c r="T25" s="282">
        <f>IF(T24&gt;0,T24*Assumptions!$C$14,0)</f>
        <v/>
      </c>
      <c r="U25" s="282">
        <f>IF(U24&gt;0,U24*Assumptions!$C$14,0)</f>
        <v/>
      </c>
      <c r="V25" s="282">
        <f>IF(V24&gt;0,V24*Assumptions!$C$14,0)</f>
        <v/>
      </c>
      <c r="W25" s="282">
        <f>IF(W24&gt;0,W24*Assumptions!$C$14,0)</f>
        <v/>
      </c>
      <c r="X25" s="282">
        <f>IF(X24&gt;0,X24*Assumptions!$C$14,0)</f>
        <v/>
      </c>
      <c r="Y25" s="282">
        <f>IF(Y24&gt;0,Y24*Assumptions!$C$14,0)</f>
        <v/>
      </c>
      <c r="Z25" s="282">
        <f>IF(Z24&gt;0,Z24*Assumptions!$C$14,0)</f>
        <v/>
      </c>
      <c r="AA25" s="282">
        <f>IF(AA24&gt;0,AA24*Assumptions!$C$14,0)</f>
        <v/>
      </c>
      <c r="AB25" s="282">
        <f>IF(AB24&gt;0,AB24*Assumptions!$C$14,0)</f>
        <v/>
      </c>
      <c r="AC25" s="282">
        <f>IF(AC24&gt;0,AC24*Assumptions!$C$14,0)</f>
        <v/>
      </c>
      <c r="AD25" s="282">
        <f>IF(AD24&gt;0,AD24*Assumptions!$C$14,0)</f>
        <v/>
      </c>
      <c r="AE25" s="282">
        <f>IF(AE24&gt;0,AE24*Assumptions!$C$14,0)</f>
        <v/>
      </c>
      <c r="AF25" s="282">
        <f>IF(AF24&gt;0,AF24*Assumptions!$C$14,0)</f>
        <v/>
      </c>
      <c r="AG25" s="282">
        <f>IF(AG24&gt;0,AG24*Assumptions!$C$14,0)</f>
        <v/>
      </c>
      <c r="AH25" s="282">
        <f>IF(AH24&gt;0,AH24*Assumptions!$C$14,0)</f>
        <v/>
      </c>
      <c r="AI25" s="282">
        <f>IF(AI24&gt;0,AI24*Assumptions!$C$14,0)</f>
        <v/>
      </c>
      <c r="AJ25" s="282">
        <f>IF(AJ24&gt;0,AJ24*Assumptions!$C$14,0)</f>
        <v/>
      </c>
      <c r="AK25" s="282">
        <f>IF(AK24&gt;0,AK24*Assumptions!$C$14,0)</f>
        <v/>
      </c>
      <c r="AL25" s="282">
        <f>IF(AL24&gt;0,AL24*Assumptions!$C$14,0)</f>
        <v/>
      </c>
      <c r="AM25" s="282">
        <f>IF(AM24&gt;0,AM24*Assumptions!$C$14,0)</f>
        <v/>
      </c>
      <c r="AN25" s="282">
        <f>IF(AN24&gt;0,AN24*Assumptions!$C$14,0)</f>
        <v/>
      </c>
      <c r="AO25" s="282">
        <f>IF(AO24&gt;0,AO24*Assumptions!$C$14,0)</f>
        <v/>
      </c>
      <c r="AP25" s="282">
        <f>IF(AP24&gt;0,AP24*Assumptions!$C$14,0)</f>
        <v/>
      </c>
      <c r="AQ25" s="282">
        <f>IF(AQ24&gt;0,AQ24*Assumptions!$C$14,0)</f>
        <v/>
      </c>
      <c r="AR25" s="282">
        <f>IF(AR24&gt;0,AR24*Assumptions!$C$14,0)</f>
        <v/>
      </c>
      <c r="AS25" s="282">
        <f>IF(AS24&gt;0,AS24*Assumptions!$C$14,0)</f>
        <v/>
      </c>
      <c r="AT25" s="282">
        <f>IF(AT24&gt;0,AT24*Assumptions!$C$14,0)</f>
        <v/>
      </c>
      <c r="AU25" s="282">
        <f>IF(AU24&gt;0,AU24*Assumptions!$C$14,0)</f>
        <v/>
      </c>
      <c r="AV25" s="282">
        <f>IF(AV24&gt;0,AV24*Assumptions!$C$14,0)</f>
        <v/>
      </c>
      <c r="AW25" s="282">
        <f>IF(AW24&gt;0,AW24*Assumptions!$C$14,0)</f>
        <v/>
      </c>
      <c r="AX25" s="282">
        <f>IF(AX24&gt;0,AX24*Assumptions!$C$14,0)</f>
        <v/>
      </c>
      <c r="AY25" s="282">
        <f>IF(AY24&gt;0,AY24*Assumptions!$C$14,0)</f>
        <v/>
      </c>
      <c r="AZ25" s="282">
        <f>IF(AZ24&gt;0,AZ24*Assumptions!$C$14,0)</f>
        <v/>
      </c>
      <c r="BA25" s="282">
        <f>IF(BA24&gt;0,BA24*Assumptions!$C$14,0)</f>
        <v/>
      </c>
      <c r="BB25" s="282">
        <f>IF(BB24&gt;0,BB24*Assumptions!$C$14,0)</f>
        <v/>
      </c>
      <c r="BC25" s="282">
        <f>IF(BC24&gt;0,BC24*Assumptions!$C$14,0)</f>
        <v/>
      </c>
      <c r="BD25" s="282">
        <f>IF(BD24&gt;0,BD24*Assumptions!$C$14,0)</f>
        <v/>
      </c>
      <c r="BE25" s="282">
        <f>IF(BE24&gt;0,BE24*Assumptions!$C$14,0)</f>
        <v/>
      </c>
      <c r="BF25" s="282">
        <f>IF(BF24&gt;0,BF24*Assumptions!$C$14,0)</f>
        <v/>
      </c>
      <c r="BG25" s="282">
        <f>IF(BG24&gt;0,BG24*Assumptions!$C$14,0)</f>
        <v/>
      </c>
      <c r="BH25" s="282">
        <f>IF(BH24&gt;0,BH24*Assumptions!$C$14,0)</f>
        <v/>
      </c>
      <c r="BI25" s="282">
        <f>IF(BI24&gt;0,BI24*Assumptions!$C$14,0)</f>
        <v/>
      </c>
      <c r="BJ25" s="282">
        <f>IF(BJ24&gt;0,BJ24*Assumptions!$C$14,0)</f>
        <v/>
      </c>
      <c r="BK25" s="282">
        <f>IF(BK24&gt;0,BK24*Assumptions!$C$14,0)</f>
        <v/>
      </c>
      <c r="BL25" s="282">
        <f>IF(BL24&gt;0,BL24*Assumptions!$C$14,0)</f>
        <v/>
      </c>
      <c r="BM25" s="282">
        <f>IF(BM24&gt;0,BM24*Assumptions!$C$14,0)</f>
        <v/>
      </c>
      <c r="BN25" s="282">
        <f>IF(BN24&gt;0,BN24*Assumptions!$C$14,0)</f>
        <v/>
      </c>
    </row>
    <row r="26">
      <c r="A26" s="280" t="inlineStr">
        <is>
          <t>Profit After Tax (PAT)</t>
        </is>
      </c>
      <c r="B26" s="281">
        <f>B24-B25</f>
        <v/>
      </c>
      <c r="C26" s="281">
        <f>C24-C25</f>
        <v/>
      </c>
      <c r="D26" s="281">
        <f>D24-D25</f>
        <v/>
      </c>
      <c r="E26" s="281">
        <f>E24-E25</f>
        <v/>
      </c>
      <c r="F26" s="281">
        <f>F24-F25</f>
        <v/>
      </c>
      <c r="G26" s="281">
        <f>G24-G25</f>
        <v/>
      </c>
      <c r="H26" s="281">
        <f>H24-H25</f>
        <v/>
      </c>
      <c r="I26" s="281">
        <f>I24-I25</f>
        <v/>
      </c>
      <c r="J26" s="281">
        <f>J24-J25</f>
        <v/>
      </c>
      <c r="K26" s="281">
        <f>K24-K25</f>
        <v/>
      </c>
      <c r="L26" s="281">
        <f>L24-L25</f>
        <v/>
      </c>
      <c r="M26" s="281">
        <f>M24-M25</f>
        <v/>
      </c>
      <c r="N26" s="281">
        <f>N24-N25</f>
        <v/>
      </c>
      <c r="O26" s="281">
        <f>O24-O25</f>
        <v/>
      </c>
      <c r="P26" s="281">
        <f>P24-P25</f>
        <v/>
      </c>
      <c r="Q26" s="281">
        <f>Q24-Q25</f>
        <v/>
      </c>
      <c r="R26" s="281">
        <f>R24-R25</f>
        <v/>
      </c>
      <c r="S26" s="281">
        <f>S24-S25</f>
        <v/>
      </c>
      <c r="T26" s="281">
        <f>T24-T25</f>
        <v/>
      </c>
      <c r="U26" s="281">
        <f>U24-U25</f>
        <v/>
      </c>
      <c r="V26" s="281">
        <f>V24-V25</f>
        <v/>
      </c>
      <c r="W26" s="281">
        <f>W24-W25</f>
        <v/>
      </c>
      <c r="X26" s="281">
        <f>X24-X25</f>
        <v/>
      </c>
      <c r="Y26" s="281">
        <f>Y24-Y25</f>
        <v/>
      </c>
      <c r="Z26" s="281">
        <f>Z24-Z25</f>
        <v/>
      </c>
      <c r="AA26" s="281">
        <f>AA24-AA25</f>
        <v/>
      </c>
      <c r="AB26" s="281">
        <f>AB24-AB25</f>
        <v/>
      </c>
      <c r="AC26" s="281">
        <f>AC24-AC25</f>
        <v/>
      </c>
      <c r="AD26" s="281">
        <f>AD24-AD25</f>
        <v/>
      </c>
      <c r="AE26" s="281">
        <f>AE24-AE25</f>
        <v/>
      </c>
      <c r="AF26" s="281">
        <f>AF24-AF25</f>
        <v/>
      </c>
      <c r="AG26" s="281">
        <f>AG24-AG25</f>
        <v/>
      </c>
      <c r="AH26" s="281">
        <f>AH24-AH25</f>
        <v/>
      </c>
      <c r="AI26" s="281">
        <f>AI24-AI25</f>
        <v/>
      </c>
      <c r="AJ26" s="281">
        <f>AJ24-AJ25</f>
        <v/>
      </c>
      <c r="AK26" s="281">
        <f>AK24-AK25</f>
        <v/>
      </c>
      <c r="AL26" s="281">
        <f>AL24-AL25</f>
        <v/>
      </c>
      <c r="AM26" s="281">
        <f>AM24-AM25</f>
        <v/>
      </c>
      <c r="AN26" s="281">
        <f>AN24-AN25</f>
        <v/>
      </c>
      <c r="AO26" s="281">
        <f>AO24-AO25</f>
        <v/>
      </c>
      <c r="AP26" s="281">
        <f>AP24-AP25</f>
        <v/>
      </c>
      <c r="AQ26" s="281">
        <f>AQ24-AQ25</f>
        <v/>
      </c>
      <c r="AR26" s="281">
        <f>AR24-AR25</f>
        <v/>
      </c>
      <c r="AS26" s="281">
        <f>AS24-AS25</f>
        <v/>
      </c>
      <c r="AT26" s="281">
        <f>AT24-AT25</f>
        <v/>
      </c>
      <c r="AU26" s="281">
        <f>AU24-AU25</f>
        <v/>
      </c>
      <c r="AV26" s="281">
        <f>AV24-AV25</f>
        <v/>
      </c>
      <c r="AW26" s="281">
        <f>AW24-AW25</f>
        <v/>
      </c>
      <c r="AX26" s="281">
        <f>AX24-AX25</f>
        <v/>
      </c>
      <c r="AY26" s="281">
        <f>AY24-AY25</f>
        <v/>
      </c>
      <c r="AZ26" s="281">
        <f>AZ24-AZ25</f>
        <v/>
      </c>
      <c r="BA26" s="281">
        <f>BA24-BA25</f>
        <v/>
      </c>
      <c r="BB26" s="281">
        <f>BB24-BB25</f>
        <v/>
      </c>
      <c r="BC26" s="281">
        <f>BC24-BC25</f>
        <v/>
      </c>
      <c r="BD26" s="281">
        <f>BD24-BD25</f>
        <v/>
      </c>
      <c r="BE26" s="281">
        <f>BE24-BE25</f>
        <v/>
      </c>
      <c r="BF26" s="281">
        <f>BF24-BF25</f>
        <v/>
      </c>
      <c r="BG26" s="281">
        <f>BG24-BG25</f>
        <v/>
      </c>
      <c r="BH26" s="281">
        <f>BH24-BH25</f>
        <v/>
      </c>
      <c r="BI26" s="281">
        <f>BI24-BI25</f>
        <v/>
      </c>
      <c r="BJ26" s="281">
        <f>BJ24-BJ25</f>
        <v/>
      </c>
      <c r="BK26" s="281">
        <f>BK24-BK25</f>
        <v/>
      </c>
      <c r="BL26" s="281">
        <f>BL24-BL25</f>
        <v/>
      </c>
      <c r="BM26" s="281">
        <f>BM24-BM25</f>
        <v/>
      </c>
      <c r="BN26" s="281">
        <f>BN24-BN25</f>
        <v/>
      </c>
    </row>
    <row r="27">
      <c r="A27" s="280" t="inlineStr">
        <is>
          <t>Cash Accrual (PAT + Depreciation)</t>
        </is>
      </c>
      <c r="B27" s="281">
        <f>B26+B20</f>
        <v/>
      </c>
      <c r="C27" s="281">
        <f>C26+C20</f>
        <v/>
      </c>
      <c r="D27" s="281">
        <f>D26+D20</f>
        <v/>
      </c>
      <c r="E27" s="281">
        <f>E26+E20</f>
        <v/>
      </c>
      <c r="F27" s="281">
        <f>F26+F20</f>
        <v/>
      </c>
      <c r="G27" s="281">
        <f>G26+G20</f>
        <v/>
      </c>
      <c r="H27" s="281">
        <f>H26+H20</f>
        <v/>
      </c>
      <c r="I27" s="281">
        <f>I26+I20</f>
        <v/>
      </c>
      <c r="J27" s="281">
        <f>J26+J20</f>
        <v/>
      </c>
      <c r="K27" s="281">
        <f>K26+K20</f>
        <v/>
      </c>
      <c r="L27" s="281">
        <f>L26+L20</f>
        <v/>
      </c>
      <c r="M27" s="281">
        <f>M26+M20</f>
        <v/>
      </c>
      <c r="N27" s="281">
        <f>N26+N20</f>
        <v/>
      </c>
      <c r="O27" s="281">
        <f>O26+O20</f>
        <v/>
      </c>
      <c r="P27" s="281">
        <f>P26+P20</f>
        <v/>
      </c>
      <c r="Q27" s="281">
        <f>Q26+Q20</f>
        <v/>
      </c>
      <c r="R27" s="281">
        <f>R26+R20</f>
        <v/>
      </c>
      <c r="S27" s="281">
        <f>S26+S20</f>
        <v/>
      </c>
      <c r="T27" s="281">
        <f>T26+T20</f>
        <v/>
      </c>
      <c r="U27" s="281">
        <f>U26+U20</f>
        <v/>
      </c>
      <c r="V27" s="281">
        <f>V26+V20</f>
        <v/>
      </c>
      <c r="W27" s="281">
        <f>W26+W20</f>
        <v/>
      </c>
      <c r="X27" s="281">
        <f>X26+X20</f>
        <v/>
      </c>
      <c r="Y27" s="281">
        <f>Y26+Y20</f>
        <v/>
      </c>
      <c r="Z27" s="281">
        <f>Z26+Z20</f>
        <v/>
      </c>
      <c r="AA27" s="281">
        <f>AA26+AA20</f>
        <v/>
      </c>
      <c r="AB27" s="281">
        <f>AB26+AB20</f>
        <v/>
      </c>
      <c r="AC27" s="281">
        <f>AC26+AC20</f>
        <v/>
      </c>
      <c r="AD27" s="281">
        <f>AD26+AD20</f>
        <v/>
      </c>
      <c r="AE27" s="281">
        <f>AE26+AE20</f>
        <v/>
      </c>
      <c r="AF27" s="281">
        <f>AF26+AF20</f>
        <v/>
      </c>
      <c r="AG27" s="281">
        <f>AG26+AG20</f>
        <v/>
      </c>
      <c r="AH27" s="281">
        <f>AH26+AH20</f>
        <v/>
      </c>
      <c r="AI27" s="281">
        <f>AI26+AI20</f>
        <v/>
      </c>
      <c r="AJ27" s="281">
        <f>AJ26+AJ20</f>
        <v/>
      </c>
      <c r="AK27" s="281">
        <f>AK26+AK20</f>
        <v/>
      </c>
      <c r="AL27" s="281">
        <f>AL26+AL20</f>
        <v/>
      </c>
      <c r="AM27" s="281">
        <f>AM26+AM20</f>
        <v/>
      </c>
      <c r="AN27" s="281">
        <f>AN26+AN20</f>
        <v/>
      </c>
      <c r="AO27" s="281">
        <f>AO26+AO20</f>
        <v/>
      </c>
      <c r="AP27" s="281">
        <f>AP26+AP20</f>
        <v/>
      </c>
      <c r="AQ27" s="281">
        <f>AQ26+AQ20</f>
        <v/>
      </c>
      <c r="AR27" s="281">
        <f>AR26+AR20</f>
        <v/>
      </c>
      <c r="AS27" s="281">
        <f>AS26+AS20</f>
        <v/>
      </c>
      <c r="AT27" s="281">
        <f>AT26+AT20</f>
        <v/>
      </c>
      <c r="AU27" s="281">
        <f>AU26+AU20</f>
        <v/>
      </c>
      <c r="AV27" s="281">
        <f>AV26+AV20</f>
        <v/>
      </c>
      <c r="AW27" s="281">
        <f>AW26+AW20</f>
        <v/>
      </c>
      <c r="AX27" s="281">
        <f>AX26+AX20</f>
        <v/>
      </c>
      <c r="AY27" s="281">
        <f>AY26+AY20</f>
        <v/>
      </c>
      <c r="AZ27" s="281">
        <f>AZ26+AZ20</f>
        <v/>
      </c>
      <c r="BA27" s="281">
        <f>BA26+BA20</f>
        <v/>
      </c>
      <c r="BB27" s="281">
        <f>BB26+BB20</f>
        <v/>
      </c>
      <c r="BC27" s="281">
        <f>BC26+BC20</f>
        <v/>
      </c>
      <c r="BD27" s="281">
        <f>BD26+BD20</f>
        <v/>
      </c>
      <c r="BE27" s="281">
        <f>BE26+BE20</f>
        <v/>
      </c>
      <c r="BF27" s="281">
        <f>BF26+BF20</f>
        <v/>
      </c>
      <c r="BG27" s="281">
        <f>BG26+BG20</f>
        <v/>
      </c>
      <c r="BH27" s="281">
        <f>BH26+BH20</f>
        <v/>
      </c>
      <c r="BI27" s="281">
        <f>BI26+BI20</f>
        <v/>
      </c>
      <c r="BJ27" s="281">
        <f>BJ26+BJ20</f>
        <v/>
      </c>
      <c r="BK27" s="281">
        <f>BK26+BK20</f>
        <v/>
      </c>
      <c r="BL27" s="281">
        <f>BL26+BL20</f>
        <v/>
      </c>
      <c r="BM27" s="281">
        <f>BM26+BM20</f>
        <v/>
      </c>
      <c r="BN27" s="281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1" t="inlineStr">
        <is>
          <t>INVENTORY SCHEDULE  —  movement of stock, year by year</t>
        </is>
      </c>
    </row>
    <row r="2">
      <c r="A2" s="262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5" t="inlineStr">
        <is>
          <t>Particulars</t>
        </is>
      </c>
      <c r="C4" s="266" t="inlineStr">
        <is>
          <t>Year 1</t>
        </is>
      </c>
      <c r="D4" s="266" t="inlineStr">
        <is>
          <t>Year 2</t>
        </is>
      </c>
      <c r="E4" s="266" t="inlineStr">
        <is>
          <t>Year 3</t>
        </is>
      </c>
      <c r="F4" s="266" t="inlineStr">
        <is>
          <t>Year 4</t>
        </is>
      </c>
      <c r="G4" s="266" t="inlineStr">
        <is>
          <t>Year 5</t>
        </is>
      </c>
    </row>
    <row r="5">
      <c r="A5" s="276" t="n"/>
      <c r="B5" s="275" t="inlineStr">
        <is>
          <t>A.   GOODS PURCHASED</t>
        </is>
      </c>
      <c r="C5" s="276" t="n"/>
      <c r="D5" s="276" t="n"/>
      <c r="E5" s="276" t="n"/>
      <c r="F5" s="276" t="n"/>
      <c r="G5" s="276" t="n"/>
    </row>
    <row r="6">
      <c r="B6" s="267" t="inlineStr">
        <is>
          <t>Opening stock</t>
        </is>
      </c>
      <c r="C6" s="269" t="n">
        <v>0</v>
      </c>
      <c r="D6" s="269">
        <f>C9</f>
        <v/>
      </c>
      <c r="E6" s="269">
        <f>D9</f>
        <v/>
      </c>
      <c r="F6" s="269">
        <f>E9</f>
        <v/>
      </c>
      <c r="G6" s="269">
        <f>F9</f>
        <v/>
      </c>
    </row>
    <row r="7">
      <c r="B7" s="267" t="inlineStr">
        <is>
          <t>Add: Purchases during the year</t>
        </is>
      </c>
      <c r="C7" s="269">
        <f>Form_IV_CA_CL!C7</f>
        <v/>
      </c>
      <c r="D7" s="269">
        <f>Form_IV_CA_CL!D7</f>
        <v/>
      </c>
      <c r="E7" s="269">
        <f>Form_IV_CA_CL!E7</f>
        <v/>
      </c>
      <c r="F7" s="269">
        <f>Form_IV_CA_CL!F7</f>
        <v/>
      </c>
      <c r="G7" s="269">
        <f>Form_IV_CA_CL!G7</f>
        <v/>
      </c>
    </row>
    <row r="8">
      <c r="B8" s="267" t="inlineStr">
        <is>
          <t>Less: Consumed</t>
        </is>
      </c>
      <c r="C8" s="269">
        <f>C6+C7-C9</f>
        <v/>
      </c>
      <c r="D8" s="269">
        <f>D6+D7-D9</f>
        <v/>
      </c>
      <c r="E8" s="269">
        <f>E6+E7-E9</f>
        <v/>
      </c>
      <c r="F8" s="269">
        <f>F6+F7-F9</f>
        <v/>
      </c>
      <c r="G8" s="269">
        <f>G6+G7-G9</f>
        <v/>
      </c>
    </row>
    <row r="9">
      <c r="B9" s="271" t="inlineStr">
        <is>
          <t>Closing stock  (holding-days basis)</t>
        </is>
      </c>
      <c r="C9" s="272">
        <f>Form_IV_CA_CL!C10</f>
        <v/>
      </c>
      <c r="D9" s="272">
        <f>Form_IV_CA_CL!D10</f>
        <v/>
      </c>
      <c r="E9" s="272">
        <f>Form_IV_CA_CL!E10</f>
        <v/>
      </c>
      <c r="F9" s="272">
        <f>Form_IV_CA_CL!F10</f>
        <v/>
      </c>
      <c r="G9" s="272">
        <f>Form_IV_CA_CL!G10</f>
        <v/>
      </c>
    </row>
    <row r="10">
      <c r="B10" s="267" t="inlineStr">
        <is>
          <t>Holding period (days)</t>
        </is>
      </c>
      <c r="C10" s="269">
        <f>Assumptions!$C$50</f>
        <v/>
      </c>
      <c r="D10" s="269">
        <f>Assumptions!$C$50</f>
        <v/>
      </c>
      <c r="E10" s="269">
        <f>Assumptions!$C$50</f>
        <v/>
      </c>
      <c r="F10" s="269">
        <f>Assumptions!$C$50</f>
        <v/>
      </c>
      <c r="G10" s="269">
        <f>Assumptions!$C$50</f>
        <v/>
      </c>
    </row>
    <row r="12">
      <c r="A12" s="276" t="n"/>
      <c r="B12" s="275" t="inlineStr">
        <is>
          <t>B.   STOCK IN TRADE</t>
        </is>
      </c>
      <c r="C12" s="276" t="n"/>
      <c r="D12" s="276" t="n"/>
      <c r="E12" s="276" t="n"/>
      <c r="F12" s="276" t="n"/>
      <c r="G12" s="276" t="n"/>
    </row>
    <row r="13">
      <c r="B13" s="265" t="inlineStr">
        <is>
          <t>Particulars</t>
        </is>
      </c>
      <c r="C13" s="266" t="inlineStr">
        <is>
          <t>Year 1</t>
        </is>
      </c>
      <c r="D13" s="266" t="inlineStr">
        <is>
          <t>Year 2</t>
        </is>
      </c>
      <c r="E13" s="266" t="inlineStr">
        <is>
          <t>Year 3</t>
        </is>
      </c>
      <c r="F13" s="266" t="inlineStr">
        <is>
          <t>Year 4</t>
        </is>
      </c>
      <c r="G13" s="266" t="inlineStr">
        <is>
          <t>Year 5</t>
        </is>
      </c>
    </row>
    <row r="14">
      <c r="B14" s="267" t="inlineStr">
        <is>
          <t>Opening stock</t>
        </is>
      </c>
      <c r="C14" s="269" t="n">
        <v>0</v>
      </c>
      <c r="D14" s="269">
        <f>C17</f>
        <v/>
      </c>
      <c r="E14" s="269">
        <f>D17</f>
        <v/>
      </c>
      <c r="F14" s="269">
        <f>E17</f>
        <v/>
      </c>
      <c r="G14" s="269">
        <f>F17</f>
        <v/>
      </c>
    </row>
    <row r="15">
      <c r="B15" s="267" t="inlineStr">
        <is>
          <t>Add: Cost of production / cost of goods</t>
        </is>
      </c>
      <c r="C15" s="269">
        <f>Form_IV_CA_CL!C6</f>
        <v/>
      </c>
      <c r="D15" s="269">
        <f>Form_IV_CA_CL!D6</f>
        <v/>
      </c>
      <c r="E15" s="269">
        <f>Form_IV_CA_CL!E6</f>
        <v/>
      </c>
      <c r="F15" s="269">
        <f>Form_IV_CA_CL!F6</f>
        <v/>
      </c>
      <c r="G15" s="269">
        <f>Form_IV_CA_CL!G6</f>
        <v/>
      </c>
    </row>
    <row r="16">
      <c r="B16" s="267" t="inlineStr">
        <is>
          <t>Less: Cost of goods sold</t>
        </is>
      </c>
      <c r="C16" s="269">
        <f>C14+C15-C17</f>
        <v/>
      </c>
      <c r="D16" s="269">
        <f>D14+D15-D17</f>
        <v/>
      </c>
      <c r="E16" s="269">
        <f>E14+E15-E17</f>
        <v/>
      </c>
      <c r="F16" s="269">
        <f>F14+F15-F17</f>
        <v/>
      </c>
      <c r="G16" s="269">
        <f>G14+G15-G17</f>
        <v/>
      </c>
    </row>
    <row r="17">
      <c r="B17" s="271" t="inlineStr">
        <is>
          <t>Closing stock  (holding-days basis)</t>
        </is>
      </c>
      <c r="C17" s="272">
        <f>Form_IV_CA_CL!C11</f>
        <v/>
      </c>
      <c r="D17" s="272">
        <f>Form_IV_CA_CL!D11</f>
        <v/>
      </c>
      <c r="E17" s="272">
        <f>Form_IV_CA_CL!E11</f>
        <v/>
      </c>
      <c r="F17" s="272">
        <f>Form_IV_CA_CL!F11</f>
        <v/>
      </c>
      <c r="G17" s="272">
        <f>Form_IV_CA_CL!G11</f>
        <v/>
      </c>
    </row>
    <row r="18">
      <c r="B18" s="267" t="inlineStr">
        <is>
          <t>Holding period (days)</t>
        </is>
      </c>
      <c r="C18" s="269">
        <f>Assumptions!$C$51</f>
        <v/>
      </c>
      <c r="D18" s="269">
        <f>Assumptions!$C$51</f>
        <v/>
      </c>
      <c r="E18" s="269">
        <f>Assumptions!$C$51</f>
        <v/>
      </c>
      <c r="F18" s="269">
        <f>Assumptions!$C$51</f>
        <v/>
      </c>
      <c r="G18" s="269">
        <f>Assumptions!$C$51</f>
        <v/>
      </c>
    </row>
    <row r="20">
      <c r="A20" s="276" t="n"/>
      <c r="B20" s="275" t="inlineStr">
        <is>
          <t>C.   TOTAL INVENTORY  &amp;  EFFICIENCY</t>
        </is>
      </c>
      <c r="C20" s="276" t="n"/>
      <c r="D20" s="276" t="n"/>
      <c r="E20" s="276" t="n"/>
      <c r="F20" s="276" t="n"/>
      <c r="G20" s="276" t="n"/>
    </row>
    <row r="21">
      <c r="B21" s="265" t="inlineStr">
        <is>
          <t>Particulars</t>
        </is>
      </c>
      <c r="C21" s="266" t="inlineStr">
        <is>
          <t>Year 1</t>
        </is>
      </c>
      <c r="D21" s="266" t="inlineStr">
        <is>
          <t>Year 2</t>
        </is>
      </c>
      <c r="E21" s="266" t="inlineStr">
        <is>
          <t>Year 3</t>
        </is>
      </c>
      <c r="F21" s="266" t="inlineStr">
        <is>
          <t>Year 4</t>
        </is>
      </c>
      <c r="G21" s="266" t="inlineStr">
        <is>
          <t>Year 5</t>
        </is>
      </c>
    </row>
    <row r="22">
      <c r="B22" s="267" t="inlineStr">
        <is>
          <t>Goods purchased — closing</t>
        </is>
      </c>
      <c r="C22" s="269">
        <f>C9</f>
        <v/>
      </c>
      <c r="D22" s="269">
        <f>D9</f>
        <v/>
      </c>
      <c r="E22" s="269">
        <f>E9</f>
        <v/>
      </c>
      <c r="F22" s="269">
        <f>F9</f>
        <v/>
      </c>
      <c r="G22" s="269">
        <f>G9</f>
        <v/>
      </c>
    </row>
    <row r="23">
      <c r="B23" s="267" t="inlineStr">
        <is>
          <t>Stock in trade — closing</t>
        </is>
      </c>
      <c r="C23" s="269">
        <f>C17</f>
        <v/>
      </c>
      <c r="D23" s="269">
        <f>D17</f>
        <v/>
      </c>
      <c r="E23" s="269">
        <f>E17</f>
        <v/>
      </c>
      <c r="F23" s="269">
        <f>F17</f>
        <v/>
      </c>
      <c r="G23" s="269">
        <f>G17</f>
        <v/>
      </c>
    </row>
    <row r="24">
      <c r="B24" s="273" t="inlineStr">
        <is>
          <t>TOTAL INVENTORY  (ties to Form IV / Balance Sheet)</t>
        </is>
      </c>
      <c r="C24" s="274">
        <f>C22+C23</f>
        <v/>
      </c>
      <c r="D24" s="274">
        <f>D22+D23</f>
        <v/>
      </c>
      <c r="E24" s="274">
        <f>E22+E23</f>
        <v/>
      </c>
      <c r="F24" s="274">
        <f>F22+F23</f>
        <v/>
      </c>
      <c r="G24" s="274">
        <f>G22+G23</f>
        <v/>
      </c>
    </row>
    <row r="25">
      <c r="B25" s="267" t="inlineStr">
        <is>
          <t>Inventory turnover (times)</t>
        </is>
      </c>
      <c r="C25" s="305">
        <f>IFERROR(C16/IF(C14=0,C17,AVERAGE(C14,C17)),0)</f>
        <v/>
      </c>
      <c r="D25" s="305">
        <f>IFERROR(D16/IF(D14=0,D17,AVERAGE(D14,D17)),0)</f>
        <v/>
      </c>
      <c r="E25" s="305">
        <f>IFERROR(E16/IF(E14=0,E17,AVERAGE(E14,E17)),0)</f>
        <v/>
      </c>
      <c r="F25" s="305">
        <f>IFERROR(F16/IF(F14=0,F17,AVERAGE(F14,F17)),0)</f>
        <v/>
      </c>
      <c r="G25" s="305">
        <f>IFERROR(G16/IF(G14=0,G17,AVERAGE(G14,G17)),0)</f>
        <v/>
      </c>
    </row>
    <row r="26">
      <c r="B26" s="267" t="inlineStr">
        <is>
          <t>Inventory as % of net sales</t>
        </is>
      </c>
      <c r="C26" s="297">
        <f>IFERROR(C24/Form_IV_CA_CL!C8,0)</f>
        <v/>
      </c>
      <c r="D26" s="297">
        <f>IFERROR(D24/Form_IV_CA_CL!D8,0)</f>
        <v/>
      </c>
      <c r="E26" s="297">
        <f>IFERROR(E24/Form_IV_CA_CL!E8,0)</f>
        <v/>
      </c>
      <c r="F26" s="297">
        <f>IFERROR(F24/Form_IV_CA_CL!F8,0)</f>
        <v/>
      </c>
      <c r="G26" s="297">
        <f>IFERROR(G24/Form_IV_CA_CL!G8,0)</f>
        <v/>
      </c>
    </row>
    <row r="27">
      <c r="B27" s="267" t="inlineStr">
        <is>
          <t>Inventory holding (days of sales)</t>
        </is>
      </c>
      <c r="C27" s="269">
        <f>IFERROR(C24/Form_IV_CA_CL!C8*365,0)</f>
        <v/>
      </c>
      <c r="D27" s="269">
        <f>IFERROR(D24/Form_IV_CA_CL!D8*365,0)</f>
        <v/>
      </c>
      <c r="E27" s="269">
        <f>IFERROR(E24/Form_IV_CA_CL!E8*365,0)</f>
        <v/>
      </c>
      <c r="F27" s="269">
        <f>IFERROR(F24/Form_IV_CA_CL!F8*365,0)</f>
        <v/>
      </c>
      <c r="G27" s="269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carried in from prior years (over min. cash buffer)</t>
        </is>
      </c>
      <c r="C13" s="81" t="n">
        <v>0</v>
      </c>
      <c r="D13" s="81">
        <f>MAX(0,C12-Assumptions!$C$54)</f>
        <v/>
      </c>
      <c r="E13" s="81">
        <f>MAX(0,D12-Assumptions!$C$54)</f>
        <v/>
      </c>
      <c r="F13" s="81">
        <f>MAX(0,E12-Assumptions!$C$54)</f>
        <v/>
      </c>
      <c r="G13" s="81">
        <f>MAX(0,F12-Assumptions!$C$54)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6" t="inlineStr">
        <is>
          <t>WORKING CAPITAL &amp; LOAN STRUCTURE  —  MPBF (Tandon) and the borrowing split</t>
        </is>
      </c>
    </row>
    <row r="2">
      <c r="A2" s="307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8" t="n"/>
      <c r="B4" s="265" t="inlineStr">
        <is>
          <t>Particulars</t>
        </is>
      </c>
      <c r="C4" s="266" t="inlineStr">
        <is>
          <t>Year 1</t>
        </is>
      </c>
      <c r="D4" s="266" t="inlineStr">
        <is>
          <t>Year 2</t>
        </is>
      </c>
      <c r="E4" s="266" t="inlineStr">
        <is>
          <t>Year 3</t>
        </is>
      </c>
      <c r="F4" s="266" t="inlineStr">
        <is>
          <t>Year 4</t>
        </is>
      </c>
      <c r="G4" s="266" t="inlineStr">
        <is>
          <t>Year 5</t>
        </is>
      </c>
    </row>
    <row r="5">
      <c r="A5" s="289" t="n"/>
      <c r="B5" s="290" t="inlineStr">
        <is>
          <t>A.   WORKING CAPITAL ASSESSMENT   (Tandon methodology)</t>
        </is>
      </c>
      <c r="C5" s="291" t="n"/>
      <c r="D5" s="276" t="n"/>
      <c r="E5" s="276" t="n"/>
      <c r="F5" s="276" t="n"/>
      <c r="G5" s="276" t="n"/>
    </row>
    <row r="6">
      <c r="A6" s="202" t="n"/>
      <c r="B6" s="292" t="inlineStr">
        <is>
          <t>Total Current Assets (TCA)</t>
        </is>
      </c>
      <c r="C6" s="293">
        <f>Form_IV_CA_CL!C14</f>
        <v/>
      </c>
      <c r="D6" s="269">
        <f>Form_IV_CA_CL!D14</f>
        <v/>
      </c>
      <c r="E6" s="269">
        <f>Form_IV_CA_CL!E14</f>
        <v/>
      </c>
      <c r="F6" s="269">
        <f>Form_IV_CA_CL!F14</f>
        <v/>
      </c>
      <c r="G6" s="269">
        <f>Form_IV_CA_CL!G14</f>
        <v/>
      </c>
    </row>
    <row r="7">
      <c r="A7" s="202" t="n"/>
      <c r="B7" s="292" t="inlineStr">
        <is>
          <t>Current Liabilities other than bank (TCL)</t>
        </is>
      </c>
      <c r="C7" s="293">
        <f>Form_IV_CA_CL!C18</f>
        <v/>
      </c>
      <c r="D7" s="269">
        <f>Form_IV_CA_CL!D18</f>
        <v/>
      </c>
      <c r="E7" s="269">
        <f>Form_IV_CA_CL!E18</f>
        <v/>
      </c>
      <c r="F7" s="269">
        <f>Form_IV_CA_CL!F18</f>
        <v/>
      </c>
      <c r="G7" s="269">
        <f>Form_IV_CA_CL!G18</f>
        <v/>
      </c>
    </row>
    <row r="8">
      <c r="A8" s="202" t="n"/>
      <c r="B8" s="294" t="inlineStr">
        <is>
          <t>Working Capital Gap  (TCA − TCL)</t>
        </is>
      </c>
      <c r="C8" s="295">
        <f>Form_IV_CA_CL!C19</f>
        <v/>
      </c>
      <c r="D8" s="272">
        <f>Form_IV_CA_CL!D19</f>
        <v/>
      </c>
      <c r="E8" s="272">
        <f>Form_IV_CA_CL!E19</f>
        <v/>
      </c>
      <c r="F8" s="272">
        <f>Form_IV_CA_CL!F19</f>
        <v/>
      </c>
      <c r="G8" s="272">
        <f>Form_IV_CA_CL!G19</f>
        <v/>
      </c>
    </row>
    <row r="9">
      <c r="A9" s="202" t="n"/>
      <c r="B9" s="292" t="inlineStr">
        <is>
          <t>Margin — borrower's stake (%)</t>
        </is>
      </c>
      <c r="C9" s="296">
        <f>Assumptions!$C$55</f>
        <v/>
      </c>
      <c r="D9" s="297">
        <f>Assumptions!$C$55</f>
        <v/>
      </c>
      <c r="E9" s="297">
        <f>Assumptions!$C$55</f>
        <v/>
      </c>
      <c r="F9" s="297">
        <f>Assumptions!$C$55</f>
        <v/>
      </c>
      <c r="G9" s="297">
        <f>Assumptions!$C$55</f>
        <v/>
      </c>
    </row>
    <row r="10">
      <c r="A10" s="202" t="n"/>
      <c r="B10" s="267" t="inlineStr">
        <is>
          <t>Min. stipulated NWC  (margin × TCA)</t>
        </is>
      </c>
      <c r="C10" s="269">
        <f>C9*C6</f>
        <v/>
      </c>
      <c r="D10" s="269">
        <f>D9*D6</f>
        <v/>
      </c>
      <c r="E10" s="269">
        <f>E9*E6</f>
        <v/>
      </c>
      <c r="F10" s="269">
        <f>F9*F6</f>
        <v/>
      </c>
      <c r="G10" s="269">
        <f>G9*G6</f>
        <v/>
      </c>
    </row>
    <row r="11">
      <c r="A11" s="288" t="n"/>
      <c r="B11" s="267" t="inlineStr">
        <is>
          <t>MPBF — Method I   (WCG × (1 − margin))</t>
        </is>
      </c>
      <c r="C11" s="269">
        <f>MAX(0,C8*(1-C9))</f>
        <v/>
      </c>
      <c r="D11" s="269">
        <f>MAX(0,D8*(1-D9))</f>
        <v/>
      </c>
      <c r="E11" s="269">
        <f>MAX(0,E8*(1-E9))</f>
        <v/>
      </c>
      <c r="F11" s="269">
        <f>MAX(0,F8*(1-F9))</f>
        <v/>
      </c>
      <c r="G11" s="269">
        <f>MAX(0,G8*(1-G9))</f>
        <v/>
      </c>
    </row>
    <row r="12">
      <c r="A12" s="202" t="n"/>
      <c r="B12" s="292" t="inlineStr">
        <is>
          <t>MPBF — Method II  (0.75·TCA − TCL)</t>
        </is>
      </c>
      <c r="C12" s="293">
        <f>MAX(0,C6*(1-C9)-C7)</f>
        <v/>
      </c>
      <c r="D12" s="269">
        <f>MAX(0,D6*(1-D9)-D7)</f>
        <v/>
      </c>
      <c r="E12" s="269">
        <f>MAX(0,E6*(1-E9)-E7)</f>
        <v/>
      </c>
      <c r="F12" s="269">
        <f>MAX(0,F6*(1-F9)-F7)</f>
        <v/>
      </c>
      <c r="G12" s="269">
        <f>MAX(0,G6*(1-G9)-G7)</f>
        <v/>
      </c>
    </row>
    <row r="13">
      <c r="A13" s="202" t="n"/>
      <c r="B13" s="298" t="inlineStr">
        <is>
          <t>RECOMMENDED CC / OD LIMIT  (Method II)</t>
        </is>
      </c>
      <c r="C13" s="299">
        <f>C12</f>
        <v/>
      </c>
      <c r="D13" s="274">
        <f>D12</f>
        <v/>
      </c>
      <c r="E13" s="274">
        <f>E12</f>
        <v/>
      </c>
      <c r="F13" s="274">
        <f>F12</f>
        <v/>
      </c>
      <c r="G13" s="274">
        <f>G12</f>
        <v/>
      </c>
    </row>
    <row r="14">
      <c r="A14" s="202" t="n"/>
      <c r="B14" s="300" t="n"/>
      <c r="C14" s="301" t="n"/>
    </row>
    <row r="15">
      <c r="A15" s="289" t="n"/>
      <c r="B15" s="302" t="inlineStr">
        <is>
          <t>B.   LOAN STRUCTURE   —   TERM LOAN  vs  WORKING CAPITAL</t>
        </is>
      </c>
      <c r="C15" s="289" t="n"/>
      <c r="D15" s="276" t="n"/>
      <c r="E15" s="276" t="n"/>
      <c r="F15" s="276" t="n"/>
      <c r="G15" s="276" t="n"/>
    </row>
    <row r="16">
      <c r="A16" s="288" t="n"/>
      <c r="B16" s="265" t="inlineStr">
        <is>
          <t>Particulars</t>
        </is>
      </c>
      <c r="C16" s="266" t="inlineStr">
        <is>
          <t>Year 1</t>
        </is>
      </c>
      <c r="D16" s="266" t="inlineStr">
        <is>
          <t>Year 2</t>
        </is>
      </c>
      <c r="E16" s="266" t="inlineStr">
        <is>
          <t>Year 3</t>
        </is>
      </c>
      <c r="F16" s="266" t="inlineStr">
        <is>
          <t>Year 4</t>
        </is>
      </c>
      <c r="G16" s="266" t="inlineStr">
        <is>
          <t>Year 5</t>
        </is>
      </c>
    </row>
    <row r="17">
      <c r="A17" s="202" t="n"/>
      <c r="B17" s="292" t="inlineStr">
        <is>
          <t>Term Loan — sanctioned</t>
        </is>
      </c>
      <c r="C17" s="293">
        <f>Assumptions!$C$8</f>
        <v/>
      </c>
      <c r="D17" s="269">
        <f>Assumptions!$C$8</f>
        <v/>
      </c>
      <c r="E17" s="269">
        <f>Assumptions!$C$8</f>
        <v/>
      </c>
      <c r="F17" s="269">
        <f>Assumptions!$C$8</f>
        <v/>
      </c>
      <c r="G17" s="269">
        <f>Assumptions!$C$8</f>
        <v/>
      </c>
    </row>
    <row r="18">
      <c r="A18" s="202" t="n"/>
      <c r="B18" s="267" t="inlineStr">
        <is>
          <t>Term Loan — opening balance</t>
        </is>
      </c>
      <c r="C18" s="269">
        <f>Repayment!C5</f>
        <v/>
      </c>
      <c r="D18" s="269">
        <f>Repayment!D5</f>
        <v/>
      </c>
      <c r="E18" s="269">
        <f>Repayment!E5</f>
        <v/>
      </c>
      <c r="F18" s="269">
        <f>Repayment!F5</f>
        <v/>
      </c>
      <c r="G18" s="269">
        <f>Repayment!G5</f>
        <v/>
      </c>
    </row>
    <row r="19">
      <c r="A19" s="288" t="n"/>
      <c r="B19" s="267" t="inlineStr">
        <is>
          <t>Term Loan — principal repaid in the year</t>
        </is>
      </c>
      <c r="C19" s="269">
        <f>Repayment!C7</f>
        <v/>
      </c>
      <c r="D19" s="269">
        <f>Repayment!D7</f>
        <v/>
      </c>
      <c r="E19" s="269">
        <f>Repayment!E7</f>
        <v/>
      </c>
      <c r="F19" s="269">
        <f>Repayment!F7</f>
        <v/>
      </c>
      <c r="G19" s="269">
        <f>Repayment!G7</f>
        <v/>
      </c>
    </row>
    <row r="20">
      <c r="A20" s="202" t="n"/>
      <c r="B20" s="294" t="inlineStr">
        <is>
          <t>Term Loan — closing balance</t>
        </is>
      </c>
      <c r="C20" s="295">
        <f>Repayment!C8</f>
        <v/>
      </c>
      <c r="D20" s="272">
        <f>Repayment!D8</f>
        <v/>
      </c>
      <c r="E20" s="272">
        <f>Repayment!E8</f>
        <v/>
      </c>
      <c r="F20" s="272">
        <f>Repayment!F8</f>
        <v/>
      </c>
      <c r="G20" s="272">
        <f>Repayment!G8</f>
        <v/>
      </c>
    </row>
    <row r="21">
      <c r="A21" s="202" t="n"/>
      <c r="B21" s="303" t="n"/>
      <c r="C21" s="304" t="n"/>
    </row>
    <row r="22">
      <c r="A22" s="202" t="n"/>
      <c r="B22" s="292" t="inlineStr">
        <is>
          <t>Working Capital (CC/OD) limit assessed</t>
        </is>
      </c>
      <c r="C22" s="293">
        <f>C13</f>
        <v/>
      </c>
      <c r="D22" s="269">
        <f>D13</f>
        <v/>
      </c>
      <c r="E22" s="269">
        <f>E13</f>
        <v/>
      </c>
      <c r="F22" s="269">
        <f>F13</f>
        <v/>
      </c>
      <c r="G22" s="269">
        <f>G13</f>
        <v/>
      </c>
    </row>
    <row r="23">
      <c r="A23" s="202" t="n"/>
      <c r="B23" s="294" t="inlineStr">
        <is>
          <t>Working Capital — utilised / drawn</t>
        </is>
      </c>
      <c r="C23" s="295">
        <f>Form_V_MPBF!C11</f>
        <v/>
      </c>
      <c r="D23" s="272">
        <f>Form_V_MPBF!D11</f>
        <v/>
      </c>
      <c r="E23" s="272">
        <f>Form_V_MPBF!E11</f>
        <v/>
      </c>
      <c r="F23" s="272">
        <f>Form_V_MPBF!F11</f>
        <v/>
      </c>
      <c r="G23" s="272">
        <f>Form_V_MPBF!G11</f>
        <v/>
      </c>
    </row>
    <row r="24">
      <c r="A24" s="202" t="n"/>
      <c r="B24" s="300" t="n"/>
      <c r="C24" s="301" t="n"/>
    </row>
    <row r="25">
      <c r="B25" s="273" t="inlineStr">
        <is>
          <t>TOTAL BANK BORROWING  (term + working capital)</t>
        </is>
      </c>
      <c r="C25" s="274">
        <f>C20+C23</f>
        <v/>
      </c>
      <c r="D25" s="274">
        <f>D20+D23</f>
        <v/>
      </c>
      <c r="E25" s="274">
        <f>E20+E23</f>
        <v/>
      </c>
      <c r="F25" s="274">
        <f>F20+F23</f>
        <v/>
      </c>
      <c r="G25" s="274">
        <f>G20+G23</f>
        <v/>
      </c>
    </row>
    <row r="26">
      <c r="B26" s="267" t="inlineStr">
        <is>
          <t>Promoters' capital / equity</t>
        </is>
      </c>
      <c r="C26" s="269">
        <f>Assumptions!$C$9</f>
        <v/>
      </c>
      <c r="D26" s="269">
        <f>Assumptions!$C$9</f>
        <v/>
      </c>
      <c r="E26" s="269">
        <f>Assumptions!$C$9</f>
        <v/>
      </c>
      <c r="F26" s="269">
        <f>Assumptions!$C$9</f>
        <v/>
      </c>
      <c r="G26" s="269">
        <f>Assumptions!$C$9</f>
        <v/>
      </c>
    </row>
    <row r="27">
      <c r="B27" s="273" t="inlineStr">
        <is>
          <t>TOTAL FUNDING  (bank + promoters)</t>
        </is>
      </c>
      <c r="C27" s="274">
        <f>C25+C26</f>
        <v/>
      </c>
      <c r="D27" s="274">
        <f>D25+D26</f>
        <v/>
      </c>
      <c r="E27" s="274">
        <f>E25+E26</f>
        <v/>
      </c>
      <c r="F27" s="274">
        <f>F25+F26</f>
        <v/>
      </c>
      <c r="G27" s="274">
        <f>G25+G26</f>
        <v/>
      </c>
    </row>
    <row r="28">
      <c r="B28" s="267" t="inlineStr">
        <is>
          <t>Term loan as % of total bank borrowing</t>
        </is>
      </c>
      <c r="C28" s="297">
        <f>IFERROR(C20/C25,0)</f>
        <v/>
      </c>
      <c r="D28" s="297">
        <f>IFERROR(D20/D25,0)</f>
        <v/>
      </c>
      <c r="E28" s="297">
        <f>IFERROR(E20/E25,0)</f>
        <v/>
      </c>
      <c r="F28" s="297">
        <f>IFERROR(F20/F25,0)</f>
        <v/>
      </c>
      <c r="G28" s="297">
        <f>IFERROR(G20/G25,0)</f>
        <v/>
      </c>
    </row>
    <row r="29">
      <c r="B29" s="267" t="inlineStr">
        <is>
          <t>Working capital as % of total bank borrowing</t>
        </is>
      </c>
      <c r="C29" s="297">
        <f>IFERROR(C23/C25,0)</f>
        <v/>
      </c>
      <c r="D29" s="297">
        <f>IFERROR(D23/D25,0)</f>
        <v/>
      </c>
      <c r="E29" s="297">
        <f>IFERROR(E23/E25,0)</f>
        <v/>
      </c>
      <c r="F29" s="297">
        <f>IFERROR(F23/F25,0)</f>
        <v/>
      </c>
      <c r="G29" s="297">
        <f>IFERROR(G23/G25,0)</f>
        <v/>
      </c>
    </row>
    <row r="31">
      <c r="A31" s="276" t="n"/>
      <c r="B31" s="275" t="inlineStr">
        <is>
          <t>C.   FINANCE COST   —   split by facility</t>
        </is>
      </c>
      <c r="C31" s="276" t="n"/>
      <c r="D31" s="276" t="n"/>
      <c r="E31" s="276" t="n"/>
      <c r="F31" s="276" t="n"/>
      <c r="G31" s="276" t="n"/>
    </row>
    <row r="32">
      <c r="B32" s="265" t="inlineStr">
        <is>
          <t>Particulars</t>
        </is>
      </c>
      <c r="C32" s="266" t="inlineStr">
        <is>
          <t>Year 1</t>
        </is>
      </c>
      <c r="D32" s="266" t="inlineStr">
        <is>
          <t>Year 2</t>
        </is>
      </c>
      <c r="E32" s="266" t="inlineStr">
        <is>
          <t>Year 3</t>
        </is>
      </c>
      <c r="F32" s="266" t="inlineStr">
        <is>
          <t>Year 4</t>
        </is>
      </c>
      <c r="G32" s="266" t="inlineStr">
        <is>
          <t>Year 5</t>
        </is>
      </c>
    </row>
    <row r="33">
      <c r="B33" s="267" t="inlineStr">
        <is>
          <t>Interest — Term Loan</t>
        </is>
      </c>
      <c r="C33" s="269">
        <f>Repayment!C6</f>
        <v/>
      </c>
      <c r="D33" s="269">
        <f>Repayment!D6</f>
        <v/>
      </c>
      <c r="E33" s="269">
        <f>Repayment!E6</f>
        <v/>
      </c>
      <c r="F33" s="269">
        <f>Repayment!F6</f>
        <v/>
      </c>
      <c r="G33" s="269">
        <f>Repayment!G6</f>
        <v/>
      </c>
    </row>
    <row r="34">
      <c r="B34" s="267" t="inlineStr">
        <is>
          <t>Interest — Working Capital</t>
        </is>
      </c>
      <c r="C34" s="269">
        <f>C23*Assumptions!$C$13</f>
        <v/>
      </c>
      <c r="D34" s="269">
        <f>D23*Assumptions!$C$13</f>
        <v/>
      </c>
      <c r="E34" s="269">
        <f>E23*Assumptions!$C$13</f>
        <v/>
      </c>
      <c r="F34" s="269">
        <f>F23*Assumptions!$C$13</f>
        <v/>
      </c>
      <c r="G34" s="269">
        <f>G23*Assumptions!$C$13</f>
        <v/>
      </c>
    </row>
    <row r="35">
      <c r="B35" s="273" t="inlineStr">
        <is>
          <t>TOTAL INTEREST / FINANCE COST</t>
        </is>
      </c>
      <c r="C35" s="274">
        <f>C33+C34</f>
        <v/>
      </c>
      <c r="D35" s="274">
        <f>D33+D34</f>
        <v/>
      </c>
      <c r="E35" s="274">
        <f>E33+E34</f>
        <v/>
      </c>
      <c r="F35" s="274">
        <f>F33+F34</f>
        <v/>
      </c>
      <c r="G35" s="274">
        <f>G33+G34</f>
        <v/>
      </c>
    </row>
    <row r="36">
      <c r="B36" s="271" t="inlineStr">
        <is>
          <t>Debt service  (interest + term-loan principal)</t>
        </is>
      </c>
      <c r="C36" s="272">
        <f>C35+C19</f>
        <v/>
      </c>
      <c r="D36" s="272">
        <f>D35+D19</f>
        <v/>
      </c>
      <c r="E36" s="272">
        <f>E35+E19</f>
        <v/>
      </c>
      <c r="F36" s="272">
        <f>F35+F19</f>
        <v/>
      </c>
      <c r="G36" s="272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1" t="inlineStr">
        <is>
          <t>EXISTING LOAN  —  take-over or additional facility</t>
        </is>
      </c>
    </row>
    <row r="2">
      <c r="A2" s="262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5" t="inlineStr">
        <is>
          <t>Particulars</t>
        </is>
      </c>
      <c r="C3" s="266" t="inlineStr">
        <is>
          <t>Year 1</t>
        </is>
      </c>
      <c r="D3" s="266" t="inlineStr">
        <is>
          <t>Year 2</t>
        </is>
      </c>
      <c r="E3" s="266" t="inlineStr">
        <is>
          <t>Year 3</t>
        </is>
      </c>
      <c r="F3" s="266" t="inlineStr">
        <is>
          <t>Year 4</t>
        </is>
      </c>
      <c r="G3" s="266" t="inlineStr">
        <is>
          <t>Year 5</t>
        </is>
      </c>
    </row>
    <row r="4">
      <c r="B4" s="267" t="inlineStr">
        <is>
          <t>Outstanding today</t>
        </is>
      </c>
      <c r="C4" s="309">
        <f>Assumptions!$C$73</f>
        <v/>
      </c>
      <c r="D4" s="310" t="n"/>
    </row>
    <row r="5">
      <c r="B5" s="267" t="inlineStr">
        <is>
          <t>Interest rate (% p.a.)</t>
        </is>
      </c>
      <c r="C5" s="311">
        <f>Assumptions!$C$74</f>
        <v/>
      </c>
      <c r="D5" s="310" t="n"/>
    </row>
    <row r="6">
      <c r="B6" s="267" t="inlineStr">
        <is>
          <t>Remaining tenure (months) / annual principal</t>
        </is>
      </c>
      <c r="C6" s="309">
        <f>Assumptions!$C$75</f>
        <v/>
      </c>
      <c r="D6" s="309">
        <f>IFERROR(Assumptions!$C$73/(Assumptions!$C$75/12),0)</f>
        <v/>
      </c>
    </row>
    <row r="7">
      <c r="A7" s="276" t="n"/>
      <c r="B7" s="275" t="inlineStr">
        <is>
          <t>A.   AMORTISATION OF THE EXISTING FACILITY  (as if it continues)</t>
        </is>
      </c>
      <c r="C7" s="276" t="n"/>
      <c r="D7" s="276" t="n"/>
      <c r="E7" s="276" t="n"/>
      <c r="F7" s="276" t="n"/>
      <c r="G7" s="276" t="n"/>
    </row>
    <row r="8">
      <c r="B8" s="267" t="inlineStr">
        <is>
          <t>Opening balance</t>
        </is>
      </c>
      <c r="C8" s="269">
        <f>Assumptions!$C$73</f>
        <v/>
      </c>
      <c r="D8" s="269">
        <f>C11</f>
        <v/>
      </c>
      <c r="E8" s="269">
        <f>D11</f>
        <v/>
      </c>
      <c r="F8" s="269">
        <f>E11</f>
        <v/>
      </c>
      <c r="G8" s="269">
        <f>F11</f>
        <v/>
      </c>
    </row>
    <row r="9">
      <c r="B9" s="267" t="inlineStr">
        <is>
          <t>Interest for the year</t>
        </is>
      </c>
      <c r="C9" s="269">
        <f>C8*Assumptions!$C$74</f>
        <v/>
      </c>
      <c r="D9" s="269">
        <f>D8*Assumptions!$C$74</f>
        <v/>
      </c>
      <c r="E9" s="269">
        <f>E8*Assumptions!$C$74</f>
        <v/>
      </c>
      <c r="F9" s="269">
        <f>F8*Assumptions!$C$74</f>
        <v/>
      </c>
      <c r="G9" s="269">
        <f>G8*Assumptions!$C$74</f>
        <v/>
      </c>
    </row>
    <row r="10">
      <c r="B10" s="267" t="inlineStr">
        <is>
          <t>Principal repayment</t>
        </is>
      </c>
      <c r="C10" s="269">
        <f>MIN(C8,$D$6)</f>
        <v/>
      </c>
      <c r="D10" s="269">
        <f>MIN(D8,$D$6)</f>
        <v/>
      </c>
      <c r="E10" s="269">
        <f>MIN(E8,$D$6)</f>
        <v/>
      </c>
      <c r="F10" s="269">
        <f>MIN(F8,$D$6)</f>
        <v/>
      </c>
      <c r="G10" s="269">
        <f>MIN(G8,$D$6)</f>
        <v/>
      </c>
    </row>
    <row r="11">
      <c r="B11" s="271" t="inlineStr">
        <is>
          <t>Closing balance</t>
        </is>
      </c>
      <c r="C11" s="272">
        <f>C8-C10</f>
        <v/>
      </c>
      <c r="D11" s="272">
        <f>D8-D10</f>
        <v/>
      </c>
      <c r="E11" s="272">
        <f>E8-E10</f>
        <v/>
      </c>
      <c r="F11" s="272">
        <f>F8-F10</f>
        <v/>
      </c>
      <c r="G11" s="272">
        <f>G8-G10</f>
        <v/>
      </c>
    </row>
    <row r="13">
      <c r="A13" s="276" t="n"/>
      <c r="B13" s="275" t="inlineStr">
        <is>
          <t>B.   WHAT THE MODEL ACTUALLY CHARGES  (after the treatment switch)</t>
        </is>
      </c>
      <c r="C13" s="276" t="n"/>
      <c r="D13" s="276" t="n"/>
      <c r="E13" s="276" t="n"/>
      <c r="F13" s="276" t="n"/>
      <c r="G13" s="276" t="n"/>
    </row>
    <row r="14">
      <c r="B14" s="271" t="inlineStr">
        <is>
          <t>Interest charged to the P&amp;L</t>
        </is>
      </c>
      <c r="C14" s="272">
        <f>IF(Assumptions!$C$72=2,C9,0)</f>
        <v/>
      </c>
      <c r="D14" s="272">
        <f>IF(Assumptions!$C$72=2,D9,0)</f>
        <v/>
      </c>
      <c r="E14" s="272">
        <f>IF(Assumptions!$C$72=2,E9,0)</f>
        <v/>
      </c>
      <c r="F14" s="272">
        <f>IF(Assumptions!$C$72=2,F9,0)</f>
        <v/>
      </c>
      <c r="G14" s="272">
        <f>IF(Assumptions!$C$72=2,G9,0)</f>
        <v/>
      </c>
    </row>
    <row r="15">
      <c r="B15" s="271" t="inlineStr">
        <is>
          <t>Principal repaid in the year</t>
        </is>
      </c>
      <c r="C15" s="272">
        <f>IF(Assumptions!$C$72=2,C10,0)</f>
        <v/>
      </c>
      <c r="D15" s="272">
        <f>IF(Assumptions!$C$72=2,D10,0)</f>
        <v/>
      </c>
      <c r="E15" s="272">
        <f>IF(Assumptions!$C$72=2,E10,0)</f>
        <v/>
      </c>
      <c r="F15" s="272">
        <f>IF(Assumptions!$C$72=2,F10,0)</f>
        <v/>
      </c>
      <c r="G15" s="272">
        <f>IF(Assumptions!$C$72=2,G10,0)</f>
        <v/>
      </c>
    </row>
    <row r="16">
      <c r="B16" s="271" t="inlineStr">
        <is>
          <t>Closing balance carried to the balance sheet</t>
        </is>
      </c>
      <c r="C16" s="272">
        <f>IF(Assumptions!$C$72=2,C11,0)</f>
        <v/>
      </c>
      <c r="D16" s="272">
        <f>IF(Assumptions!$C$72=2,D11,0)</f>
        <v/>
      </c>
      <c r="E16" s="272">
        <f>IF(Assumptions!$C$72=2,E11,0)</f>
        <v/>
      </c>
      <c r="F16" s="272">
        <f>IF(Assumptions!$C$72=2,F11,0)</f>
        <v/>
      </c>
      <c r="G16" s="272">
        <f>IF(Assumptions!$C$72=2,G11,0)</f>
        <v/>
      </c>
    </row>
    <row r="17">
      <c r="B17" s="267" t="inlineStr">
        <is>
          <t>Taken over by the new term loan (Year 1)</t>
        </is>
      </c>
      <c r="C17" s="269">
        <f>IF(Assumptions!$C$72=1,Assumptions!$C$73,0)</f>
        <v/>
      </c>
      <c r="D17" s="269">
        <f>0</f>
        <v/>
      </c>
      <c r="E17" s="269">
        <f>0</f>
        <v/>
      </c>
      <c r="F17" s="269">
        <f>0</f>
        <v/>
      </c>
      <c r="G17" s="269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2026-09-22T06:31:38Z</dcterms:modified>
  <cp:revision>1</cp:revision>
</cp:coreProperties>
</file>