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>
        <is>
          <t>Existing loan / liability details, where applicable</t>
        </is>
      </c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Ratios</t>
        </is>
      </c>
      <c r="C28" t="inlineStr">
        <is>
          <t>Key ratios — liquidity, leverage, profitability, coverage</t>
        </is>
      </c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3">
    <mergeCell ref="B12:C12"/>
    <mergeCell ref="B3:C3"/>
    <mergeCell ref="B2:C2"/>
  </mergeCells>
  <hyperlinks>
    <hyperlink ref="B13" location="Assumptions!A1" display="Assumptions"/>
    <hyperlink ref="B14" location="'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 (state your own unit -- tonnes/kg/pieces/sq.ft p.a. -- matching what you specified)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Units of activity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price / unit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sales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Additional revenue stream A</t>
        </is>
      </c>
      <c r="C66" s="257" t="n">
        <v>0</v>
      </c>
      <c r="D66" s="257" t="n">
        <v>0</v>
      </c>
    </row>
    <row r="67">
      <c r="B67" s="188" t="inlineStr">
        <is>
          <t>Additional revenue stream B</t>
        </is>
      </c>
      <c r="C67" s="257" t="n">
        <v>0</v>
      </c>
      <c r="D67" s="257" t="n">
        <v>0</v>
      </c>
    </row>
    <row r="68">
      <c r="B68" s="188" t="inlineStr">
        <is>
          <t>Additional revenue stream C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7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7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7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7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Units of activity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Units of activity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Average price / unit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Units of activity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Additional revenue stream A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Additional revenue stream A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Additional revenue stream A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Additional revenue stream B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Additional revenue stream B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Additional revenue stream B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Additional revenue stream C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Additional revenue stream C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Additional revenue stream C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sales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Units of activity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Additional revenue stream A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Additional revenue stream B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Additional revenue stream C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75" t="n"/>
      <c r="B5" s="274" t="inlineStr">
        <is>
          <t>A.   GOODS PURCHASED</t>
        </is>
      </c>
      <c r="C5" s="275" t="n"/>
      <c r="D5" s="275" t="n"/>
      <c r="E5" s="275" t="n"/>
      <c r="F5" s="275" t="n"/>
      <c r="G5" s="275" t="n"/>
    </row>
    <row r="6">
      <c r="B6" s="266" t="inlineStr">
        <is>
          <t>Opening stock</t>
        </is>
      </c>
      <c r="C6" s="268" t="n">
        <v>0</v>
      </c>
      <c r="D6" s="268">
        <f>C9</f>
        <v/>
      </c>
      <c r="E6" s="268">
        <f>D9</f>
        <v/>
      </c>
      <c r="F6" s="268">
        <f>E9</f>
        <v/>
      </c>
      <c r="G6" s="268">
        <f>F9</f>
        <v/>
      </c>
    </row>
    <row r="7">
      <c r="B7" s="266" t="inlineStr">
        <is>
          <t>Add: Purchases during the year</t>
        </is>
      </c>
      <c r="C7" s="268">
        <f>Form_IV_CA_CL!C7</f>
        <v/>
      </c>
      <c r="D7" s="268">
        <f>Form_IV_CA_CL!D7</f>
        <v/>
      </c>
      <c r="E7" s="268">
        <f>Form_IV_CA_CL!E7</f>
        <v/>
      </c>
      <c r="F7" s="268">
        <f>Form_IV_CA_CL!F7</f>
        <v/>
      </c>
      <c r="G7" s="268">
        <f>Form_IV_CA_CL!G7</f>
        <v/>
      </c>
    </row>
    <row r="8">
      <c r="B8" s="266" t="inlineStr">
        <is>
          <t>Less: Consumed</t>
        </is>
      </c>
      <c r="C8" s="268">
        <f>C6+C7-C9</f>
        <v/>
      </c>
      <c r="D8" s="268">
        <f>D6+D7-D9</f>
        <v/>
      </c>
      <c r="E8" s="268">
        <f>E6+E7-E9</f>
        <v/>
      </c>
      <c r="F8" s="268">
        <f>F6+F7-F9</f>
        <v/>
      </c>
      <c r="G8" s="268">
        <f>G6+G7-G9</f>
        <v/>
      </c>
    </row>
    <row r="9">
      <c r="B9" s="270" t="inlineStr">
        <is>
          <t>Closing stock  (holding-days basis)</t>
        </is>
      </c>
      <c r="C9" s="271">
        <f>Form_IV_CA_CL!C10</f>
        <v/>
      </c>
      <c r="D9" s="271">
        <f>Form_IV_CA_CL!D10</f>
        <v/>
      </c>
      <c r="E9" s="271">
        <f>Form_IV_CA_CL!E10</f>
        <v/>
      </c>
      <c r="F9" s="271">
        <f>Form_IV_CA_CL!F10</f>
        <v/>
      </c>
      <c r="G9" s="271">
        <f>Form_IV_CA_CL!G10</f>
        <v/>
      </c>
    </row>
    <row r="10">
      <c r="B10" s="266" t="inlineStr">
        <is>
          <t>Holding period (days)</t>
        </is>
      </c>
      <c r="C10" s="268">
        <f>Assumptions!$C$50</f>
        <v/>
      </c>
      <c r="D10" s="268">
        <f>Assumptions!$C$50</f>
        <v/>
      </c>
      <c r="E10" s="268">
        <f>Assumptions!$C$50</f>
        <v/>
      </c>
      <c r="F10" s="268">
        <f>Assumptions!$C$50</f>
        <v/>
      </c>
      <c r="G10" s="268">
        <f>Assumptions!$C$50</f>
        <v/>
      </c>
    </row>
    <row r="12">
      <c r="A12" s="275" t="n"/>
      <c r="B12" s="274" t="inlineStr">
        <is>
          <t>B.   STOCK IN TRADE</t>
        </is>
      </c>
      <c r="C12" s="275" t="n"/>
      <c r="D12" s="275" t="n"/>
      <c r="E12" s="275" t="n"/>
      <c r="F12" s="275" t="n"/>
      <c r="G12" s="275" t="n"/>
    </row>
    <row r="13">
      <c r="B13" s="264" t="inlineStr">
        <is>
          <t>Particulars</t>
        </is>
      </c>
      <c r="C13" s="265" t="inlineStr">
        <is>
          <t>Year 1</t>
        </is>
      </c>
      <c r="D13" s="265" t="inlineStr">
        <is>
          <t>Year 2</t>
        </is>
      </c>
      <c r="E13" s="265" t="inlineStr">
        <is>
          <t>Year 3</t>
        </is>
      </c>
      <c r="F13" s="265" t="inlineStr">
        <is>
          <t>Year 4</t>
        </is>
      </c>
      <c r="G13" s="265" t="inlineStr">
        <is>
          <t>Year 5</t>
        </is>
      </c>
    </row>
    <row r="14">
      <c r="B14" s="266" t="inlineStr">
        <is>
          <t>Opening stock</t>
        </is>
      </c>
      <c r="C14" s="268" t="n">
        <v>0</v>
      </c>
      <c r="D14" s="268">
        <f>C17</f>
        <v/>
      </c>
      <c r="E14" s="268">
        <f>D17</f>
        <v/>
      </c>
      <c r="F14" s="268">
        <f>E17</f>
        <v/>
      </c>
      <c r="G14" s="268">
        <f>F17</f>
        <v/>
      </c>
    </row>
    <row r="15">
      <c r="B15" s="266" t="inlineStr">
        <is>
          <t>Add: Cost of production / cost of goods</t>
        </is>
      </c>
      <c r="C15" s="268">
        <f>Form_IV_CA_CL!C6</f>
        <v/>
      </c>
      <c r="D15" s="268">
        <f>Form_IV_CA_CL!D6</f>
        <v/>
      </c>
      <c r="E15" s="268">
        <f>Form_IV_CA_CL!E6</f>
        <v/>
      </c>
      <c r="F15" s="268">
        <f>Form_IV_CA_CL!F6</f>
        <v/>
      </c>
      <c r="G15" s="268">
        <f>Form_IV_CA_CL!G6</f>
        <v/>
      </c>
    </row>
    <row r="16">
      <c r="B16" s="266" t="inlineStr">
        <is>
          <t>Less: Cost of goods sold</t>
        </is>
      </c>
      <c r="C16" s="268">
        <f>C14+C15-C17</f>
        <v/>
      </c>
      <c r="D16" s="268">
        <f>D14+D15-D17</f>
        <v/>
      </c>
      <c r="E16" s="268">
        <f>E14+E15-E17</f>
        <v/>
      </c>
      <c r="F16" s="268">
        <f>F14+F15-F17</f>
        <v/>
      </c>
      <c r="G16" s="268">
        <f>G14+G15-G17</f>
        <v/>
      </c>
    </row>
    <row r="17">
      <c r="B17" s="270" t="inlineStr">
        <is>
          <t>Closing stock  (holding-days basis)</t>
        </is>
      </c>
      <c r="C17" s="271">
        <f>Form_IV_CA_CL!C11</f>
        <v/>
      </c>
      <c r="D17" s="271">
        <f>Form_IV_CA_CL!D11</f>
        <v/>
      </c>
      <c r="E17" s="271">
        <f>Form_IV_CA_CL!E11</f>
        <v/>
      </c>
      <c r="F17" s="271">
        <f>Form_IV_CA_CL!F11</f>
        <v/>
      </c>
      <c r="G17" s="271">
        <f>Form_IV_CA_CL!G11</f>
        <v/>
      </c>
    </row>
    <row r="18">
      <c r="B18" s="266" t="inlineStr">
        <is>
          <t>Holding period (days)</t>
        </is>
      </c>
      <c r="C18" s="268">
        <f>Assumptions!$C$51</f>
        <v/>
      </c>
      <c r="D18" s="268">
        <f>Assumptions!$C$51</f>
        <v/>
      </c>
      <c r="E18" s="268">
        <f>Assumptions!$C$51</f>
        <v/>
      </c>
      <c r="F18" s="268">
        <f>Assumptions!$C$51</f>
        <v/>
      </c>
      <c r="G18" s="268">
        <f>Assumptions!$C$51</f>
        <v/>
      </c>
    </row>
    <row r="20">
      <c r="A20" s="275" t="n"/>
      <c r="B20" s="274" t="inlineStr">
        <is>
          <t>C.   TOTAL INVENTORY  &amp;  EFFICIENCY</t>
        </is>
      </c>
      <c r="C20" s="275" t="n"/>
      <c r="D20" s="275" t="n"/>
      <c r="E20" s="275" t="n"/>
      <c r="F20" s="275" t="n"/>
      <c r="G20" s="275" t="n"/>
    </row>
    <row r="21">
      <c r="B21" s="264" t="inlineStr">
        <is>
          <t>Particulars</t>
        </is>
      </c>
      <c r="C21" s="265" t="inlineStr">
        <is>
          <t>Year 1</t>
        </is>
      </c>
      <c r="D21" s="265" t="inlineStr">
        <is>
          <t>Year 2</t>
        </is>
      </c>
      <c r="E21" s="265" t="inlineStr">
        <is>
          <t>Year 3</t>
        </is>
      </c>
      <c r="F21" s="265" t="inlineStr">
        <is>
          <t>Year 4</t>
        </is>
      </c>
      <c r="G21" s="265" t="inlineStr">
        <is>
          <t>Year 5</t>
        </is>
      </c>
    </row>
    <row r="22">
      <c r="B22" s="266" t="inlineStr">
        <is>
          <t>Goods purchased — closing</t>
        </is>
      </c>
      <c r="C22" s="268">
        <f>C9</f>
        <v/>
      </c>
      <c r="D22" s="268">
        <f>D9</f>
        <v/>
      </c>
      <c r="E22" s="268">
        <f>E9</f>
        <v/>
      </c>
      <c r="F22" s="268">
        <f>F9</f>
        <v/>
      </c>
      <c r="G22" s="268">
        <f>G9</f>
        <v/>
      </c>
    </row>
    <row r="23">
      <c r="B23" s="266" t="inlineStr">
        <is>
          <t>Stock in trade — closing</t>
        </is>
      </c>
      <c r="C23" s="268">
        <f>C17</f>
        <v/>
      </c>
      <c r="D23" s="268">
        <f>D17</f>
        <v/>
      </c>
      <c r="E23" s="268">
        <f>E17</f>
        <v/>
      </c>
      <c r="F23" s="268">
        <f>F17</f>
        <v/>
      </c>
      <c r="G23" s="268">
        <f>G17</f>
        <v/>
      </c>
    </row>
    <row r="24">
      <c r="B24" s="272" t="inlineStr">
        <is>
          <t>TOTAL INVENTORY  (ties to Form IV / Balance Sheet)</t>
        </is>
      </c>
      <c r="C24" s="273">
        <f>C22+C23</f>
        <v/>
      </c>
      <c r="D24" s="273">
        <f>D22+D23</f>
        <v/>
      </c>
      <c r="E24" s="273">
        <f>E22+E23</f>
        <v/>
      </c>
      <c r="F24" s="273">
        <f>F22+F23</f>
        <v/>
      </c>
      <c r="G24" s="273">
        <f>G22+G23</f>
        <v/>
      </c>
    </row>
    <row r="25">
      <c r="B25" s="266" t="inlineStr">
        <is>
          <t>Inventory turnover (times)</t>
        </is>
      </c>
      <c r="C25" s="304">
        <f>IFERROR(C16/IF(C14=0,C17,AVERAGE(C14,C17)),0)</f>
        <v/>
      </c>
      <c r="D25" s="304">
        <f>IFERROR(D16/IF(D14=0,D17,AVERAGE(D14,D17)),0)</f>
        <v/>
      </c>
      <c r="E25" s="304">
        <f>IFERROR(E16/IF(E14=0,E17,AVERAGE(E14,E17)),0)</f>
        <v/>
      </c>
      <c r="F25" s="304">
        <f>IFERROR(F16/IF(F14=0,F17,AVERAGE(F14,F17)),0)</f>
        <v/>
      </c>
      <c r="G25" s="304">
        <f>IFERROR(G16/IF(G14=0,G17,AVERAGE(G14,G17)),0)</f>
        <v/>
      </c>
    </row>
    <row r="26">
      <c r="B26" s="266" t="inlineStr">
        <is>
          <t>Inventory as % of net sales</t>
        </is>
      </c>
      <c r="C26" s="296">
        <f>IFERROR(C24/Form_IV_CA_CL!C8,0)</f>
        <v/>
      </c>
      <c r="D26" s="296">
        <f>IFERROR(D24/Form_IV_CA_CL!D8,0)</f>
        <v/>
      </c>
      <c r="E26" s="296">
        <f>IFERROR(E24/Form_IV_CA_CL!E8,0)</f>
        <v/>
      </c>
      <c r="F26" s="296">
        <f>IFERROR(F24/Form_IV_CA_CL!F8,0)</f>
        <v/>
      </c>
      <c r="G26" s="296">
        <f>IFERROR(G24/Form_IV_CA_CL!G8,0)</f>
        <v/>
      </c>
    </row>
    <row r="27">
      <c r="B27" s="266" t="inlineStr">
        <is>
          <t>Inventory holding (days of sales)</t>
        </is>
      </c>
      <c r="C27" s="268">
        <f>IFERROR(C24/Form_IV_CA_CL!C8*365,0)</f>
        <v/>
      </c>
      <c r="D27" s="268">
        <f>IFERROR(D24/Form_IV_CA_CL!D8*365,0)</f>
        <v/>
      </c>
      <c r="E27" s="268">
        <f>IFERROR(E24/Form_IV_CA_CL!E8*365,0)</f>
        <v/>
      </c>
      <c r="F27" s="268">
        <f>IFERROR(F24/Form_IV_CA_CL!F8*365,0)</f>
        <v/>
      </c>
      <c r="G27" s="268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MAX(0,Form_IV_CA_CL!C14*0.75-Form_IV_CA_CL!C18)</f>
        <v/>
      </c>
      <c r="D10" s="143">
        <f>MAX(0,Form_IV_CA_CL!D14*0.75-Form_IV_CA_CL!D18)</f>
        <v/>
      </c>
      <c r="E10" s="143">
        <f>MAX(0,Form_IV_CA_CL!E14*0.75-Form_IV_CA_CL!E18)</f>
        <v/>
      </c>
      <c r="F10" s="143">
        <f>MAX(0,Form_IV_CA_CL!F14*0.75-Form_IV_CA_CL!F18)</f>
        <v/>
      </c>
      <c r="G10" s="143">
        <f>MAX(0,Form_IV_CA_CL!G14*0.75-Form_IV_CA_CL!G18)</f>
        <v/>
      </c>
    </row>
    <row r="11" ht="15" customHeight="1" s="82">
      <c r="B11" s="137" t="inlineStr">
        <is>
          <t>Recommended MPBF (Method II, net of surplus cash)</t>
        </is>
      </c>
      <c r="C11" s="139">
        <f>MAX(0,C10-C13)</f>
        <v/>
      </c>
      <c r="D11" s="139">
        <f>MAX(0,D10-D13)</f>
        <v/>
      </c>
      <c r="E11" s="139">
        <f>MAX(0,E10-E13)</f>
        <v/>
      </c>
      <c r="F11" s="139">
        <f>MAX(0,F10-F13)</f>
        <v/>
      </c>
      <c r="G11" s="139">
        <f>MAX(0,G10-G13)</f>
        <v/>
      </c>
    </row>
    <row r="12">
      <c r="B12" s="81" t="inlineStr">
        <is>
          <t>Cumulative free cash generated (before WC draw)</t>
        </is>
      </c>
      <c r="C12" s="81">
        <f>Annual_Summary!C27-(Assumptions!$C$42+Assumptions!$C$43+Assumptions!$C$45+Assumptions!$C$47)-(Repayment!C7+'Existing Loan'!C15)</f>
        <v/>
      </c>
      <c r="D12" s="81">
        <f>C12+Annual_Summary!D27-(Repayment!D7+'Existing Loan'!D15)</f>
        <v/>
      </c>
      <c r="E12" s="81">
        <f>D12+Annual_Summary!E27-(Repayment!E7+'Existing Loan'!E15)</f>
        <v/>
      </c>
      <c r="F12" s="81">
        <f>E12+Annual_Summary!F27-(Repayment!F7+'Existing Loan'!F15)</f>
        <v/>
      </c>
      <c r="G12" s="81">
        <f>F12+Annual_Summary!G27-(Repayment!G7+'Existing Loan'!G15)</f>
        <v/>
      </c>
    </row>
    <row r="13">
      <c r="B13" s="81" t="inlineStr">
        <is>
          <t>Available surplus carried in from prior years (over min. cash buffer)</t>
        </is>
      </c>
      <c r="C13" s="81" t="n">
        <v>0</v>
      </c>
      <c r="D13" s="81">
        <f>MAX(0,C12-Assumptions!$C$54)</f>
        <v/>
      </c>
      <c r="E13" s="81">
        <f>MAX(0,D12-Assumptions!$C$54)</f>
        <v/>
      </c>
      <c r="F13" s="81">
        <f>MAX(0,E12-Assumptions!$C$54)</f>
        <v/>
      </c>
      <c r="G13" s="81">
        <f>MAX(0,F12-Assumptions!$C$54)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5" t="inlineStr">
        <is>
          <t>WORKING CAPITAL &amp; LOAN STRUCTURE  —  MPBF (Tandon) and the borrowing split</t>
        </is>
      </c>
    </row>
    <row r="2">
      <c r="A2" s="306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8">
        <f>Assumptions!$C$73</f>
        <v/>
      </c>
      <c r="D4" s="309" t="n"/>
    </row>
    <row r="5">
      <c r="B5" s="266" t="inlineStr">
        <is>
          <t>Interest rate (% p.a.)</t>
        </is>
      </c>
      <c r="C5" s="310">
        <f>Assumptions!$C$74</f>
        <v/>
      </c>
      <c r="D5" s="309" t="n"/>
    </row>
    <row r="6">
      <c r="B6" s="266" t="inlineStr">
        <is>
          <t>Remaining tenure (months) / annual principal</t>
        </is>
      </c>
      <c r="C6" s="308">
        <f>Assumptions!$C$75</f>
        <v/>
      </c>
      <c r="D6" s="308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ERROR(IF(OR(MAX(Annual_Summary!C22/Annual_Summary!C8,Annual_Summary!D22/Annual_Summary!D8,Annual_Summary!E22/Annual_Summary!E8,Annual_Summary!F22/Annual_Summary!F8,Annual_Summary!G22/Annual_Summary!G8)&gt;0.4,Annual_Summary!C8/(C10+C11)&lt;0.3,Annual_Summary!C8/(C10+C11)&gt;8,AVERAGE(DSCR!C14:G14)&gt;10),"REVIEW REQUIRED — figures need verification (EBITDA margin, revenue/cost scale, or DSCR outside normal range)",IF(AND(AVERAGE(DSCR!C14:G14)&gt;=1.5,MIN(DSCR!C14:G14)&gt;=1.25),"STRONG — comfortably serviceable (avg DSCR &gt;= 1.50, minimum-year DSCR &gt;= 1.25)",IF(AND(AVERAGE(DSCR!C14:G14)&gt;=1.2,MIN(DSCR!C14:G14)&gt;=1.0),"BANKABLE — meets the 1.20 minimum average DSCR with no year below 1.00","BELOW NORM — average or minimum-year DSCR under the bank floor"))),"REVIEW REQUIRED — could not verify DSCR / scale ratios (check inputs)")</f>
        <v/>
      </c>
    </row>
    <row r="26">
      <c r="B26" s="81" t="inlineStr">
        <is>
          <t>Minimum DSCR (5-yr)</t>
        </is>
      </c>
      <c r="C26" s="81">
        <f>MIN(DSCR!C14:G14)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2026-09-22T06:31:39Z</dcterms:modified>
  <cp:revision>1</cp:revision>
</cp:coreProperties>
</file>