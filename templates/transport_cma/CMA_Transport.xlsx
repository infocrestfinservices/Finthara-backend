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Form_V_MPBF" sheetId="10" state="visible" r:id="rId10"/>
    <sheet xmlns:r="http://schemas.openxmlformats.org/officeDocument/2006/relationships" name="WC &amp; CC-OD Limit" sheetId="11" state="visible" r:id="rId11"/>
    <sheet xmlns:r="http://schemas.openxmlformats.org/officeDocument/2006/relationships" name="Form_VI_FundFlow" sheetId="12" state="visible" r:id="rId12"/>
    <sheet xmlns:r="http://schemas.openxmlformats.org/officeDocument/2006/relationships" name="Repayment" sheetId="13" state="visible" r:id="rId13"/>
    <sheet xmlns:r="http://schemas.openxmlformats.org/officeDocument/2006/relationships" name="Existing Loan" sheetId="14" state="visible" r:id="rId14"/>
    <sheet xmlns:r="http://schemas.openxmlformats.org/officeDocument/2006/relationships" name="DSCR" sheetId="15" state="visible" r:id="rId15"/>
    <sheet xmlns:r="http://schemas.openxmlformats.org/officeDocument/2006/relationships" name="Ratios" sheetId="16" state="visible" r:id="rId16"/>
    <sheet xmlns:r="http://schemas.openxmlformats.org/officeDocument/2006/relationships" name="Conclusion" sheetId="17" state="visible" r:id="rId17"/>
    <sheet xmlns:r="http://schemas.openxmlformats.org/officeDocument/2006/relationships" name="Dashboard" sheetId="18" state="visible" r:id="rId18"/>
  </sheets>
  <definedNames>
    <definedName name="INDUSTRY_MAP">Assumptions!$S$5:$AB$40</definedName>
    <definedName name="_xlnm.Print_Area" localSheetId="16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0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Form_V_MPBF</t>
        </is>
      </c>
      <c r="C21" s="88" t="inlineStr">
        <is>
          <t>Form V — Maximum permissible bank finance (Tandon)</t>
        </is>
      </c>
    </row>
    <row r="22" ht="15" customHeight="1" s="82">
      <c r="B22" s="90" t="inlineStr">
        <is>
          <t>WC &amp; CC-OD Limit</t>
        </is>
      </c>
      <c r="C22" s="88" t="inlineStr">
        <is>
          <t>Working capital assessment and the term-loan / WC borrowing split</t>
        </is>
      </c>
    </row>
    <row r="23" ht="15" customHeight="1" s="82">
      <c r="B23" s="90" t="inlineStr">
        <is>
          <t>Form_VI_FundFlow</t>
        </is>
      </c>
      <c r="C23" s="88" t="inlineStr">
        <is>
          <t>Form VI — Fund-flow statement</t>
        </is>
      </c>
    </row>
    <row r="24" ht="15" customHeight="1" s="82">
      <c r="B24" s="90" t="inlineStr">
        <is>
          <t>Repayment</t>
        </is>
      </c>
      <c r="C24" s="88" t="inlineStr">
        <is>
          <t>Term-loan repayment schedule, annual and month by month</t>
        </is>
      </c>
    </row>
    <row r="25" ht="15" customHeight="1" s="82">
      <c r="B25" s="90" t="inlineStr">
        <is>
          <t>Existing Loan</t>
        </is>
      </c>
      <c r="C25" s="88" t="inlineStr">
        <is>
          <t>Existing loan / liability details, where applicable</t>
        </is>
      </c>
    </row>
    <row r="26" ht="15" customHeight="1" s="82">
      <c r="B26" s="90" t="inlineStr">
        <is>
          <t>DSCR</t>
        </is>
      </c>
      <c r="C26" s="88" t="inlineStr">
        <is>
          <t>Debt-service coverage year by year</t>
        </is>
      </c>
    </row>
    <row r="27">
      <c r="B27" s="90" t="inlineStr">
        <is>
          <t>Ratios</t>
        </is>
      </c>
      <c r="C27" s="88" t="inlineStr">
        <is>
          <t>Key ratios — liquidity, leverage, profitability, coverage</t>
        </is>
      </c>
    </row>
    <row r="28" ht="15" customHeight="1" s="82">
      <c r="B28" s="88" t="inlineStr">
        <is>
          <t>Conclusion</t>
        </is>
      </c>
      <c r="C28" s="81" t="inlineStr">
        <is>
          <t>The verdict the figures support</t>
        </is>
      </c>
    </row>
    <row r="29">
      <c r="B29" s="90" t="inlineStr">
        <is>
          <t>Dashboard</t>
        </is>
      </c>
      <c r="C29" s="88" t="inlineStr">
        <is>
          <t>Charts: revenue, EBITDA, PAT, DSCR</t>
        </is>
      </c>
    </row>
    <row r="30">
      <c r="B30" s="90" t="n"/>
      <c r="C30" s="88" t="n"/>
    </row>
  </sheetData>
  <mergeCells count="3">
    <mergeCell ref="B3:C3"/>
    <mergeCell ref="B2:C2"/>
    <mergeCell ref="B12:C12"/>
  </mergeCells>
  <hyperlinks>
    <hyperlink ref="B13" location="Assumptions!A1" display="Assumptions"/>
    <hyperlink ref="B14" location="'Fleet 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Trips / consignments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Revenue per trip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Operating cost of services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>
        <f>E32*F32</f>
        <v/>
      </c>
      <c r="D32" s="283" t="inlineStr">
        <is>
          <t>₹/month</t>
        </is>
      </c>
      <c r="E32" s="81" t="n">
        <v>0</v>
      </c>
      <c r="F32" s="81" t="n">
        <v>0</v>
      </c>
      <c r="G32" s="81" t="inlineStr">
        <is>
          <t>(E32=headcount, F32=Rs/employee/month)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Warehousing / Storage</t>
        </is>
      </c>
      <c r="C66" s="257" t="n">
        <v>0</v>
      </c>
      <c r="D66" s="257" t="n">
        <v>0</v>
      </c>
    </row>
    <row r="67">
      <c r="B67" s="188" t="inlineStr">
        <is>
          <t>Value-added logistics</t>
        </is>
      </c>
      <c r="C67" s="257" t="n">
        <v>0</v>
      </c>
      <c r="D67" s="257" t="n">
        <v>0</v>
      </c>
    </row>
    <row r="68">
      <c r="B68" s="188" t="inlineStr">
        <is>
          <t>Express / Priority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6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6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6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6" t="inlineStr">
        <is>
          <t>months</t>
        </is>
      </c>
    </row>
    <row r="77">
      <c r="B77" t="inlineStr">
        <is>
          <t>K.  COST OF PROJECT  (bottom-up build-up; ties to Means of Finance below)</t>
        </is>
      </c>
    </row>
    <row r="78">
      <c r="B78" t="inlineStr">
        <is>
          <t>Fixed assets (land + building + plant &amp; machinery + furniture)</t>
        </is>
      </c>
      <c r="C78">
        <f>C42+C43+C45+C47</f>
        <v/>
      </c>
      <c r="D78" t="inlineStr">
        <is>
          <t>₹</t>
        </is>
      </c>
    </row>
    <row r="79">
      <c r="B79" t="inlineStr">
        <is>
          <t>Pre-operative &amp; preliminary expenses</t>
        </is>
      </c>
      <c r="C79" t="n">
        <v>0</v>
      </c>
      <c r="D79" t="inlineStr">
        <is>
          <t>₹</t>
        </is>
      </c>
    </row>
    <row r="80">
      <c r="B80" t="inlineStr">
        <is>
          <t>Margin money for working capital  (borrower's stipulated NWC, Year 1)</t>
        </is>
      </c>
      <c r="C80">
        <f>'WC &amp; CC-OD Limit'!C10</f>
        <v/>
      </c>
      <c r="D80" t="inlineStr">
        <is>
          <t>₹</t>
        </is>
      </c>
    </row>
    <row r="81">
      <c r="B81" t="inlineStr">
        <is>
          <t>TOTAL PROJECT COST</t>
        </is>
      </c>
      <c r="C81">
        <f>C78+C79+C80</f>
        <v/>
      </c>
      <c r="D81" t="inlineStr">
        <is>
          <t>₹</t>
        </is>
      </c>
    </row>
    <row r="83">
      <c r="B83" t="inlineStr">
        <is>
          <t>MEANS OF FINANCE</t>
        </is>
      </c>
    </row>
    <row r="84">
      <c r="B84" t="inlineStr">
        <is>
          <t>Term loan</t>
        </is>
      </c>
      <c r="C84">
        <f>C8</f>
        <v/>
      </c>
      <c r="D84" t="inlineStr">
        <is>
          <t>₹</t>
        </is>
      </c>
    </row>
    <row r="85">
      <c r="B85" t="inlineStr">
        <is>
          <t>Promoter's contribution</t>
        </is>
      </c>
      <c r="C85">
        <f>C9</f>
        <v/>
      </c>
      <c r="D85" t="inlineStr">
        <is>
          <t>₹</t>
        </is>
      </c>
    </row>
    <row r="86">
      <c r="B86" t="inlineStr">
        <is>
          <t>TOTAL MEANS OF FINANCE</t>
        </is>
      </c>
      <c r="C86">
        <f>C84+C85</f>
        <v/>
      </c>
      <c r="D86" t="inlineStr">
        <is>
          <t>₹</t>
        </is>
      </c>
    </row>
    <row r="87">
      <c r="B87" t="inlineStr">
        <is>
          <t>Check  (Total Project Cost − Total Means of Finance = 0)</t>
        </is>
      </c>
      <c r="C87">
        <f>C81-C86</f>
        <v/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Trips / consignments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Trips / consignments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Revenue per trip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Trips / consignments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Warehousing / Storage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Warehousing / Storage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Warehousing / Storage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Value-added logistics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Value-added logistics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Value-added logistics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Express / Priority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Express / Priority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Express / Priority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Operating cost of services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Trips / consignments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Warehousing / Storage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Value-added logistics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Express / Priority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4" t="inlineStr">
        <is>
          <t>WORKING CAPITAL &amp; LOAN STRUCTURE  —  MPBF (Tandon) and the borrowing split</t>
        </is>
      </c>
    </row>
    <row r="2">
      <c r="A2" s="305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7">
        <f>Assumptions!$C$73</f>
        <v/>
      </c>
      <c r="D4" s="308" t="n"/>
    </row>
    <row r="5">
      <c r="B5" s="266" t="inlineStr">
        <is>
          <t>Interest rate (% p.a.)</t>
        </is>
      </c>
      <c r="C5" s="309">
        <f>Assumptions!$C$74</f>
        <v/>
      </c>
      <c r="D5" s="308" t="n"/>
    </row>
    <row r="6">
      <c r="B6" s="266" t="inlineStr">
        <is>
          <t>Remaining tenure (months) / annual principal</t>
        </is>
      </c>
      <c r="C6" s="307">
        <f>Assumptions!$C$75</f>
        <v/>
      </c>
      <c r="D6" s="307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2026-09-22T11:36:37Z</dcterms:modified>
  <cp:revision>1</cp:revision>
</cp:coreProperties>
</file>