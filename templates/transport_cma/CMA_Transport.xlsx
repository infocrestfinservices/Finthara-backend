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4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 Build-Up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P &amp; L" sheetId="5" state="visible" r:id="rId5"/>
    <sheet xmlns:r="http://schemas.openxmlformats.org/officeDocument/2006/relationships" name="Annual_Summary" sheetId="6" state="visible" r:id="rId6"/>
    <sheet xmlns:r="http://schemas.openxmlformats.org/officeDocument/2006/relationships" name="Form_II_Operating" sheetId="7" state="visible" r:id="rId7"/>
    <sheet xmlns:r="http://schemas.openxmlformats.org/officeDocument/2006/relationships" name="Form_III_BalanceSheet" sheetId="8" state="visible" r:id="rId8"/>
    <sheet xmlns:r="http://schemas.openxmlformats.org/officeDocument/2006/relationships" name="Form_IV_CA_CL" sheetId="9" state="visible" r:id="rId9"/>
    <sheet xmlns:r="http://schemas.openxmlformats.org/officeDocument/2006/relationships" name="Form_V_MPBF" sheetId="10" state="visible" r:id="rId10"/>
    <sheet xmlns:r="http://schemas.openxmlformats.org/officeDocument/2006/relationships" name="WC &amp; CC-OD Limit" sheetId="11" state="visible" r:id="rId11"/>
    <sheet xmlns:r="http://schemas.openxmlformats.org/officeDocument/2006/relationships" name="Form_VI_FundFlow" sheetId="12" state="visible" r:id="rId12"/>
    <sheet xmlns:r="http://schemas.openxmlformats.org/officeDocument/2006/relationships" name="Repayment" sheetId="13" state="visible" r:id="rId13"/>
    <sheet xmlns:r="http://schemas.openxmlformats.org/officeDocument/2006/relationships" name="Existing Loan" sheetId="14" state="visible" r:id="rId14"/>
    <sheet xmlns:r="http://schemas.openxmlformats.org/officeDocument/2006/relationships" name="DSCR" sheetId="15" state="visible" r:id="rId15"/>
    <sheet xmlns:r="http://schemas.openxmlformats.org/officeDocument/2006/relationships" name="Ratios" sheetId="16" state="visible" r:id="rId16"/>
    <sheet xmlns:r="http://schemas.openxmlformats.org/officeDocument/2006/relationships" name="Conclusion" sheetId="17" state="visible" r:id="rId17"/>
    <sheet xmlns:r="http://schemas.openxmlformats.org/officeDocument/2006/relationships" name="Dashboard" sheetId="18" state="visible" r:id="rId18"/>
  </sheets>
  <definedNames>
    <definedName name="INDUSTRY_MAP">Assumptions!$S$5:$AB$40</definedName>
    <definedName name="_xlnm.Print_Area" localSheetId="16">'Conclusion'!$A$1:$H$28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#,##0;\(#,##0\);\-"/>
    <numFmt numFmtId="165" formatCode="\₹#,##0"/>
    <numFmt numFmtId="166" formatCode="0.00\x"/>
    <numFmt numFmtId="167" formatCode="0&quot; months&quot;"/>
    <numFmt numFmtId="168" formatCode="0.0%"/>
    <numFmt numFmtId="169" formatCode="#,##0.00;\(#,##0.00\);\-"/>
    <numFmt numFmtId="170" formatCode="₹#,##0;[Red](₹#,##0)"/>
    <numFmt numFmtId="171" formatCode="0.00&quot;x&quot;"/>
  </numFmts>
  <fonts count="7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0563C1"/>
      <sz val="10"/>
      <u val="single"/>
    </font>
    <font>
      <name val="Arial"/>
      <charset val="1"/>
      <family val="0"/>
      <i val="1"/>
      <color rgb="FF808080"/>
      <sz val="8"/>
    </font>
    <font>
      <name val="Cambria"/>
      <charset val="1"/>
      <family val="0"/>
      <b val="1"/>
      <color rgb="FFFFFFFF"/>
      <sz val="22"/>
    </font>
    <font>
      <name val="Cambria"/>
      <charset val="1"/>
      <family val="0"/>
      <i val="1"/>
      <color rgb="FF808080"/>
      <sz val="10"/>
    </font>
    <font>
      <name val="Cambria"/>
      <charset val="1"/>
      <family val="0"/>
      <b val="1"/>
      <color rgb="FF808080"/>
      <sz val="9"/>
    </font>
    <font>
      <name val="Cambria"/>
      <charset val="1"/>
      <family val="0"/>
      <b val="1"/>
      <color rgb="FF1F3864"/>
      <sz val="18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1F3864"/>
      <sz val="16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FFFFFF"/>
      <sz val="15"/>
    </font>
    <font>
      <name val="Cambria"/>
      <charset val="1"/>
      <family val="0"/>
      <b val="1"/>
      <sz val="9"/>
    </font>
    <font>
      <name val="Arial"/>
      <charset val="1"/>
      <family val="0"/>
      <color rgb="FF0000FF"/>
      <sz val="10"/>
    </font>
    <font>
      <name val="Cambria"/>
      <charset val="1"/>
      <family val="0"/>
      <b val="1"/>
      <sz val="10"/>
    </font>
    <font>
      <name val="Cambria"/>
      <charset val="1"/>
      <family val="0"/>
      <color rgb="FF0000FF"/>
      <sz val="11"/>
    </font>
    <font>
      <name val="Arial"/>
      <charset val="1"/>
      <family val="0"/>
      <b val="1"/>
      <color rgb="FFFFFFFF"/>
      <sz val="10"/>
    </font>
    <font>
      <name val="Calibri"/>
      <b val="1"/>
      <color rgb="00FFFFFF"/>
      <sz val="17"/>
    </font>
    <font>
      <name val="Calibri"/>
      <i val="1"/>
      <color rgb="00829AB1"/>
      <sz val="9"/>
    </font>
    <font>
      <name val="Calibri"/>
      <b val="1"/>
      <color rgb="00829AB1"/>
      <sz val="8.5"/>
    </font>
    <font>
      <name val="Calibri"/>
      <b val="1"/>
      <color rgb="00FFFFFF"/>
      <sz val="11"/>
    </font>
    <font>
      <name val="Calibri"/>
      <i val="1"/>
      <color rgb="00829AB1"/>
      <sz val="8"/>
    </font>
    <font>
      <name val="Calibri"/>
      <b val="1"/>
      <color rgb="00102A43"/>
      <sz val="16"/>
    </font>
    <font>
      <name val="Calibri"/>
      <b val="1"/>
      <color rgb="00334E68"/>
      <sz val="11"/>
    </font>
    <font>
      <name val="Calibri"/>
      <b val="1"/>
      <color rgb="00FFFFFF"/>
      <sz val="9"/>
    </font>
    <font>
      <name val="Calibri"/>
      <color rgb="00102A43"/>
      <sz val="9.5"/>
    </font>
    <font>
      <name val="Arial"/>
      <b val="1"/>
      <color rgb="00FFFFFF"/>
      <sz val="16"/>
    </font>
    <font>
      <name val="Arial"/>
      <i val="1"/>
      <color rgb="005A6A7A"/>
      <sz val="9"/>
    </font>
    <font>
      <name val="Arial"/>
      <b val="1"/>
      <color rgb="00FFFFFF"/>
      <sz val="10"/>
    </font>
    <font>
      <name val="Arial"/>
      <color rgb="005A6A7A"/>
      <sz val="10"/>
    </font>
    <font>
      <name val="Arial"/>
      <b val="1"/>
      <color rgb="001C2833"/>
      <sz val="10"/>
    </font>
    <font>
      <name val="Arial"/>
      <b val="1"/>
      <color rgb="00FFFFFF"/>
      <sz val="9"/>
    </font>
    <font>
      <name val="Arial"/>
      <color rgb="001C2833"/>
      <sz val="10"/>
    </font>
    <font>
      <name val="Arial"/>
      <b val="1"/>
      <color rgb="001F3A5F"/>
      <sz val="12"/>
    </font>
    <font>
      <name val="Arial"/>
      <b val="1"/>
      <color rgb="001A6B52"/>
      <sz val="11"/>
    </font>
    <font>
      <name val="Arial"/>
      <b val="1"/>
      <color rgb="00FFFFFF"/>
      <sz val="11"/>
    </font>
    <font>
      <name val="Arial"/>
      <b val="1"/>
      <color rgb="FFFFFFFF"/>
      <sz val="10"/>
    </font>
    <font>
      <name val="Arial"/>
      <b val="1"/>
      <color rgb="FF555B66"/>
      <sz val="9"/>
    </font>
    <font>
      <name val="Arial"/>
      <sz val="10"/>
    </font>
    <font>
      <name val="Arial"/>
      <color rgb="FF0000FF"/>
      <sz val="10"/>
    </font>
    <font>
      <name val="Arial"/>
      <i val="1"/>
      <color rgb="FF555B66"/>
      <sz val="9"/>
    </font>
    <font>
      <name val="Arial"/>
      <b val="1"/>
      <sz val="9"/>
    </font>
    <font>
      <name val="Arial"/>
      <b val="1"/>
      <sz val="10"/>
    </font>
    <font>
      <name val="Arial"/>
      <sz val="9"/>
    </font>
    <font>
      <name val="Arial"/>
      <b val="1"/>
      <color rgb="FFFFFFFF"/>
      <sz val="11"/>
    </font>
    <font>
      <name val="Arial"/>
      <b val="1"/>
      <color rgb="FF1C2833"/>
      <sz val="9.5"/>
    </font>
    <font>
      <name val="Arial"/>
      <color rgb="FF1C2833"/>
      <sz val="10"/>
    </font>
    <font>
      <name val="Arial"/>
      <b val="1"/>
      <color rgb="FF1C2833"/>
      <sz val="10"/>
    </font>
    <font>
      <name val="Arial"/>
      <b val="1"/>
      <color rgb="FFFFFFFF"/>
      <sz val="9.5"/>
    </font>
    <font>
      <name val="Arial"/>
      <b val="1"/>
      <color rgb="FFFFFFFF"/>
      <sz val="13"/>
    </font>
    <font>
      <name val="Arial"/>
      <color rgb="FFFFFFFF"/>
      <sz val="9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1F3864"/>
      <sz val="10"/>
    </font>
    <font>
      <name val="Arial"/>
      <i val="1"/>
      <color rgb="FF808080"/>
      <sz val="9"/>
    </font>
    <font>
      <name val="Arial"/>
      <b val="1"/>
      <color rgb="FFFFFFFF"/>
      <sz val="14"/>
    </font>
    <font>
      <name val="Arial"/>
      <i val="1"/>
      <color rgb="FFFFFFFF"/>
      <sz val="9"/>
    </font>
    <font>
      <b val="1"/>
    </font>
    <font>
      <b val="1"/>
      <color rgb="FFFFFFFF"/>
      <sz val="15"/>
    </font>
    <font>
      <color rgb="FFFFFFFF"/>
      <sz val="9"/>
    </font>
    <font>
      <b val="1"/>
      <color rgb="FF1C2833"/>
      <sz val="9.5"/>
    </font>
    <font>
      <color rgb="FF1C2833"/>
      <sz val="10"/>
    </font>
    <font>
      <b val="1"/>
      <color rgb="FF1C2833"/>
      <sz val="10"/>
    </font>
    <font>
      <b val="1"/>
      <color rgb="FF1C2833"/>
      <sz val="11"/>
    </font>
    <font>
      <b val="1"/>
      <color rgb="FFFFFFFF"/>
      <sz val="9.5"/>
    </font>
    <font>
      <b val="1"/>
      <color rgb="FFFFFFFF"/>
      <sz val="10"/>
    </font>
    <font>
      <i val="1"/>
      <color rgb="FF1C2833"/>
      <sz val="9"/>
    </font>
  </fonts>
  <fills count="3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  <fill>
      <patternFill patternType="solid">
        <fgColor rgb="00102A43"/>
      </patternFill>
    </fill>
    <fill>
      <patternFill patternType="solid">
        <fgColor rgb="002E7DA1"/>
      </patternFill>
    </fill>
    <fill>
      <patternFill patternType="solid">
        <fgColor rgb="00F0F4F8"/>
      </patternFill>
    </fill>
    <fill>
      <patternFill patternType="solid">
        <fgColor rgb="00334E68"/>
      </patternFill>
    </fill>
    <fill>
      <patternFill patternType="solid">
        <fgColor rgb="001F3A5F"/>
      </patternFill>
    </fill>
    <fill>
      <patternFill patternType="solid">
        <fgColor rgb="0033475B"/>
      </patternFill>
    </fill>
    <fill>
      <patternFill patternType="solid">
        <fgColor rgb="00FBFCFD"/>
      </patternFill>
    </fill>
    <fill>
      <patternFill patternType="solid">
        <fgColor rgb="001A6B52"/>
      </patternFill>
    </fill>
    <fill>
      <patternFill patternType="solid">
        <fgColor rgb="009A3B2F"/>
      </patternFill>
    </fill>
    <fill>
      <patternFill patternType="solid">
        <fgColor rgb="00E8F2EC"/>
      </patternFill>
    </fill>
    <fill>
      <patternFill patternType="solid">
        <fgColor rgb="00F7EAE6"/>
      </patternFill>
    </fill>
    <fill>
      <patternFill patternType="solid">
        <fgColor rgb="001F5C8A"/>
      </patternFill>
    </fill>
    <fill>
      <patternFill patternType="solid">
        <fgColor rgb="008A5A12"/>
      </patternFill>
    </fill>
    <fill>
      <patternFill patternType="solid">
        <fgColor rgb="00E6EFF6"/>
      </patternFill>
    </fill>
    <fill>
      <patternFill patternType="solid">
        <fgColor rgb="00F6EEDD"/>
      </patternFill>
    </fill>
    <fill>
      <patternFill patternType="solid">
        <fgColor rgb="00DCE3EC"/>
      </patternFill>
    </fill>
    <fill>
      <patternFill patternType="solid">
        <fgColor rgb="00EEF2F7"/>
      </patternFill>
    </fill>
    <fill>
      <patternFill patternType="solid">
        <fgColor rgb="FF33475B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EF3FB"/>
      </patternFill>
    </fill>
    <fill>
      <patternFill patternType="solid">
        <fgColor rgb="FFDCE3EC"/>
      </patternFill>
    </fill>
  </fills>
  <borders count="3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bottom style="thin">
        <color rgb="00B7C0CC"/>
      </bottom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left/>
      <right/>
      <top/>
      <bottom style="thin">
        <color rgb="00B7C0CC"/>
      </bottom>
      <diagonal/>
    </border>
    <border>
      <left/>
      <right/>
      <top style="thin">
        <color rgb="00B7C0CC"/>
      </top>
      <bottom/>
      <diagonal/>
    </border>
    <border>
      <left/>
      <right style="thin">
        <color rgb="00B7C0CC"/>
      </right>
      <top style="thin">
        <color rgb="00B7C0CC"/>
      </top>
      <bottom/>
      <diagonal/>
    </border>
    <border>
      <left/>
      <right/>
      <top style="thin">
        <color rgb="00B7C0CC"/>
      </top>
      <bottom style="thin">
        <color rgb="00B7C0CC"/>
      </bottom>
      <diagonal/>
    </border>
    <border>
      <left/>
      <right style="thin">
        <color rgb="00B7C0CC"/>
      </right>
      <top style="thin">
        <color rgb="00B7C0CC"/>
      </top>
      <bottom style="thin">
        <color rgb="00B7C0CC"/>
      </bottom>
      <diagonal/>
    </border>
    <border>
      <right/>
      <bottom style="thin">
        <color rgb="00B7C0CC"/>
      </bottom>
    </border>
    <border/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</border>
    <border>
      <top style="thin">
        <color rgb="FFBFBFBF"/>
      </top>
      <bottom style="thin">
        <color rgb="FFBFBFBF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right style="thin">
        <color rgb="FF8EAADB"/>
      </right>
      <top style="thin">
        <color rgb="FF8EAADB"/>
      </top>
      <bottom style="thin">
        <color rgb="FF8EAADB"/>
      </bottom>
    </border>
    <border>
      <right/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0" fontId="14" fillId="5" borderId="2" applyAlignment="1" pivotButton="0" quotePrefix="0" xfId="0">
      <alignment horizontal="left" vertical="top" wrapText="1" indent="1"/>
    </xf>
    <xf numFmtId="0" fontId="14" fillId="5" borderId="3" applyAlignment="1" pivotButton="0" quotePrefix="0" xfId="0">
      <alignment horizontal="left" vertical="top" wrapText="1" indent="1"/>
    </xf>
    <xf numFmtId="0" fontId="14" fillId="5" borderId="4" applyAlignment="1" pivotButton="0" quotePrefix="0" xfId="0">
      <alignment horizontal="left" vertical="top" wrapText="1" indent="1"/>
    </xf>
    <xf numFmtId="0" fontId="14" fillId="5" borderId="5" applyAlignment="1" pivotButton="0" quotePrefix="0" xfId="0">
      <alignment horizontal="left" vertical="top" wrapText="1" indent="1"/>
    </xf>
    <xf numFmtId="0" fontId="0" fillId="5" borderId="2" applyAlignment="1" pivotButton="0" quotePrefix="0" xfId="0">
      <alignment horizontal="general" vertical="bottom"/>
    </xf>
    <xf numFmtId="0" fontId="0" fillId="5" borderId="6" applyAlignment="1" pivotButton="0" quotePrefix="0" xfId="0">
      <alignment horizontal="general" vertical="bottom"/>
    </xf>
    <xf numFmtId="0" fontId="0" fillId="5" borderId="3" applyAlignment="1" pivotButton="0" quotePrefix="0" xfId="0">
      <alignment horizontal="general" vertical="bottom"/>
    </xf>
    <xf numFmtId="0" fontId="0" fillId="5" borderId="4" applyAlignment="1" pivotButton="0" quotePrefix="0" xfId="0">
      <alignment horizontal="general" vertical="bottom"/>
    </xf>
    <xf numFmtId="0" fontId="0" fillId="5" borderId="5" applyAlignment="1" pivotButton="0" quotePrefix="0" xfId="0">
      <alignment horizontal="general" vertical="bottom"/>
    </xf>
    <xf numFmtId="165" fontId="15" fillId="5" borderId="2" applyAlignment="1" pivotButton="0" quotePrefix="0" xfId="0">
      <alignment horizontal="left" vertical="bottom" indent="1"/>
    </xf>
    <xf numFmtId="165" fontId="15" fillId="5" borderId="3" applyAlignment="1" pivotButton="0" quotePrefix="0" xfId="0">
      <alignment horizontal="left" vertical="bottom" indent="1"/>
    </xf>
    <xf numFmtId="166" fontId="15" fillId="5" borderId="4" applyAlignment="1" pivotButton="0" quotePrefix="0" xfId="0">
      <alignment horizontal="left" vertical="bottom" indent="1"/>
    </xf>
    <xf numFmtId="167" fontId="15" fillId="5" borderId="5" applyAlignment="1" pivotButton="0" quotePrefix="0" xfId="0">
      <alignment horizontal="left" vertical="bottom" indent="1"/>
    </xf>
    <xf numFmtId="0" fontId="14" fillId="5" borderId="7" applyAlignment="1" pivotButton="0" quotePrefix="0" xfId="0">
      <alignment horizontal="left" vertical="top" wrapText="1" indent="1"/>
    </xf>
    <xf numFmtId="0" fontId="0" fillId="5" borderId="7" applyAlignment="1" pivotButton="0" quotePrefix="0" xfId="0">
      <alignment horizontal="general" vertical="bottom"/>
    </xf>
    <xf numFmtId="168" fontId="15" fillId="5" borderId="7" applyAlignment="1" pivotButton="0" quotePrefix="0" xfId="0">
      <alignment horizontal="left" vertical="bottom" indent="1"/>
    </xf>
    <xf numFmtId="168" fontId="15" fillId="5" borderId="2" applyAlignment="1" pivotButton="0" quotePrefix="0" xfId="0">
      <alignment horizontal="left" vertical="bottom" indent="1"/>
    </xf>
    <xf numFmtId="168" fontId="15" fillId="5" borderId="5" applyAlignment="1" pivotButton="0" quotePrefix="0" xfId="0">
      <alignment horizontal="left" vertical="bottom" indent="1"/>
    </xf>
    <xf numFmtId="166" fontId="15" fillId="5" borderId="3" applyAlignment="1" pivotButton="0" quotePrefix="0" xfId="0">
      <alignment horizontal="left" vertical="bottom" indent="1"/>
    </xf>
    <xf numFmtId="0" fontId="16" fillId="0" borderId="0" applyAlignment="1" pivotButton="0" quotePrefix="0" xfId="0">
      <alignment horizontal="general" vertical="bottom"/>
    </xf>
    <xf numFmtId="0" fontId="17" fillId="6" borderId="0" applyAlignment="1" applyProtection="1" pivotButton="0" quotePrefix="0" xfId="0">
      <alignment horizontal="center" vertical="bottom"/>
      <protection locked="0" hidden="0"/>
    </xf>
    <xf numFmtId="165" fontId="18" fillId="5" borderId="2" applyAlignment="1" pivotButton="0" quotePrefix="0" xfId="0">
      <alignment horizontal="left" vertical="bottom" indent="1"/>
    </xf>
    <xf numFmtId="165" fontId="18" fillId="5" borderId="4" applyAlignment="1" pivotButton="0" quotePrefix="0" xfId="0">
      <alignment horizontal="left" vertical="bottom" indent="1"/>
    </xf>
    <xf numFmtId="165" fontId="18" fillId="5" borderId="7" applyAlignment="1" pivotButton="0" quotePrefix="0" xfId="0">
      <alignment horizontal="left" vertical="bottom" indent="1"/>
    </xf>
    <xf numFmtId="166" fontId="18" fillId="5" borderId="5" applyAlignment="1" pivotButton="0" quotePrefix="0" xfId="0">
      <alignment horizontal="left" vertical="bottom" indent="1"/>
    </xf>
    <xf numFmtId="1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28" fillId="10" borderId="0" applyAlignment="1" pivotButton="0" quotePrefix="0" xfId="0">
      <alignment horizontal="left" vertical="center" indent="2"/>
    </xf>
    <xf numFmtId="0" fontId="29" fillId="0" borderId="0" applyAlignment="1" pivotButton="0" quotePrefix="0" xfId="0">
      <alignment vertical="center" indent="2"/>
    </xf>
    <xf numFmtId="0" fontId="30" fillId="0" borderId="0" applyAlignment="1" pivotButton="0" quotePrefix="0" xfId="0">
      <alignment horizontal="left" vertical="center" indent="1"/>
    </xf>
    <xf numFmtId="0" fontId="31" fillId="11" borderId="16" applyAlignment="1" pivotButton="0" quotePrefix="0" xfId="0">
      <alignment horizontal="center" vertical="center"/>
    </xf>
    <xf numFmtId="0" fontId="32" fillId="0" borderId="0" pivotButton="0" quotePrefix="0" xfId="0"/>
    <xf numFmtId="0" fontId="30" fillId="12" borderId="16" applyAlignment="1" pivotButton="0" quotePrefix="0" xfId="0">
      <alignment horizontal="left" vertical="center" indent="1"/>
    </xf>
    <xf numFmtId="0" fontId="0" fillId="0" borderId="16" pivotButton="0" quotePrefix="0" xfId="0"/>
    <xf numFmtId="170" fontId="33" fillId="12" borderId="16" applyAlignment="1" pivotButton="0" quotePrefix="0" xfId="0">
      <alignment horizontal="left" vertical="center" indent="1"/>
    </xf>
    <xf numFmtId="0" fontId="32" fillId="12" borderId="16" applyAlignment="1" pivotButton="0" quotePrefix="0" xfId="0">
      <alignment horizontal="left" vertical="center" indent="1"/>
    </xf>
    <xf numFmtId="171" fontId="33" fillId="12" borderId="16" applyAlignment="1" pivotButton="0" quotePrefix="0" xfId="0">
      <alignment horizontal="left" vertical="center" indent="1"/>
    </xf>
    <xf numFmtId="0" fontId="34" fillId="12" borderId="0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center" vertical="center" indent="1"/>
    </xf>
    <xf numFmtId="0" fontId="0" fillId="0" borderId="19" pivotButton="0" quotePrefix="0" xfId="0"/>
    <xf numFmtId="0" fontId="0" fillId="0" borderId="20" pivotButton="0" quotePrefix="0" xfId="0"/>
    <xf numFmtId="0" fontId="36" fillId="0" borderId="16" applyAlignment="1" pivotButton="0" quotePrefix="0" xfId="0">
      <alignment horizontal="left" vertical="center" indent="1"/>
    </xf>
    <xf numFmtId="2" fontId="36" fillId="0" borderId="16" applyAlignment="1" pivotButton="0" quotePrefix="0" xfId="0">
      <alignment horizontal="center" vertical="center" indent="1"/>
    </xf>
    <xf numFmtId="0" fontId="36" fillId="0" borderId="16" applyAlignment="1" pivotButton="0" quotePrefix="0" xfId="0">
      <alignment horizontal="center" vertical="center" indent="1"/>
    </xf>
    <xf numFmtId="168" fontId="36" fillId="0" borderId="16" applyAlignment="1" pivotButton="0" quotePrefix="0" xfId="0">
      <alignment horizontal="center" vertical="center" indent="1"/>
    </xf>
    <xf numFmtId="3" fontId="36" fillId="0" borderId="16" applyAlignment="1" pivotButton="0" quotePrefix="0" xfId="0">
      <alignment horizontal="center" vertical="center" indent="1"/>
    </xf>
    <xf numFmtId="1" fontId="36" fillId="0" borderId="16" applyAlignment="1" pivotButton="0" quotePrefix="0" xfId="0">
      <alignment horizontal="center" vertical="center" indent="1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31" fillId="11" borderId="16" applyAlignment="1" applyProtection="1" pivotButton="0" quotePrefix="0" xfId="0">
      <alignment horizontal="center" vertical="center"/>
      <protection locked="0" hidden="0"/>
    </xf>
    <xf numFmtId="0" fontId="37" fillId="14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9" fillId="15" borderId="0" applyAlignment="1" pivotButton="0" quotePrefix="0" xfId="0">
      <alignment horizontal="left" vertical="center"/>
    </xf>
    <xf numFmtId="0" fontId="40" fillId="0" borderId="21" applyAlignment="1" pivotButton="0" quotePrefix="0" xfId="0">
      <alignment horizontal="left" vertical="center"/>
    </xf>
    <xf numFmtId="0" fontId="41" fillId="0" borderId="21" applyAlignment="1" pivotButton="0" quotePrefix="0" xfId="0">
      <alignment horizontal="left" vertical="center"/>
    </xf>
    <xf numFmtId="3" fontId="41" fillId="0" borderId="21" applyAlignment="1" pivotButton="0" quotePrefix="0" xfId="0">
      <alignment horizontal="left" vertical="center"/>
    </xf>
    <xf numFmtId="0" fontId="42" fillId="14" borderId="0" applyAlignment="1" pivotButton="0" quotePrefix="0" xfId="0">
      <alignment horizontal="left" vertical="center"/>
    </xf>
    <xf numFmtId="0" fontId="42" fillId="14" borderId="0" applyAlignment="1" pivotButton="0" quotePrefix="0" xfId="0">
      <alignment horizontal="center" vertical="center"/>
    </xf>
    <xf numFmtId="0" fontId="43" fillId="0" borderId="22" applyAlignment="1" pivotButton="0" quotePrefix="0" xfId="0">
      <alignment horizontal="left" vertical="center"/>
    </xf>
    <xf numFmtId="3" fontId="43" fillId="0" borderId="22" applyAlignment="1" pivotButton="0" quotePrefix="0" xfId="0">
      <alignment horizontal="right" vertical="center"/>
    </xf>
    <xf numFmtId="0" fontId="43" fillId="16" borderId="22" applyAlignment="1" pivotButton="0" quotePrefix="0" xfId="0">
      <alignment horizontal="left" vertical="center"/>
    </xf>
    <xf numFmtId="3" fontId="43" fillId="16" borderId="22" applyAlignment="1" pivotButton="0" quotePrefix="0" xfId="0">
      <alignment horizontal="right" vertical="center"/>
    </xf>
    <xf numFmtId="2" fontId="43" fillId="0" borderId="22" applyAlignment="1" pivotButton="0" quotePrefix="0" xfId="0">
      <alignment horizontal="right" vertical="center"/>
    </xf>
    <xf numFmtId="2" fontId="43" fillId="16" borderId="22" applyAlignment="1" pivotButton="0" quotePrefix="0" xfId="0">
      <alignment horizontal="right" vertical="center"/>
    </xf>
    <xf numFmtId="168" fontId="43" fillId="0" borderId="22" applyAlignment="1" pivotButton="0" quotePrefix="0" xfId="0">
      <alignment horizontal="right" vertical="center"/>
    </xf>
    <xf numFmtId="0" fontId="41" fillId="0" borderId="0" applyAlignment="1" pivotButton="0" quotePrefix="0" xfId="0">
      <alignment horizontal="left" vertical="center"/>
    </xf>
    <xf numFmtId="2" fontId="44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/>
    </xf>
    <xf numFmtId="0" fontId="43" fillId="0" borderId="22" applyAlignment="1" pivotButton="0" quotePrefix="0" xfId="0">
      <alignment horizontal="left" vertical="top" wrapText="1"/>
    </xf>
    <xf numFmtId="0" fontId="46" fillId="17" borderId="0" applyAlignment="1" pivotButton="0" quotePrefix="0" xfId="0">
      <alignment horizontal="left" vertical="center"/>
    </xf>
    <xf numFmtId="0" fontId="46" fillId="18" borderId="0" applyAlignment="1" pivotButton="0" quotePrefix="0" xfId="0">
      <alignment horizontal="left" vertical="center"/>
    </xf>
    <xf numFmtId="0" fontId="43" fillId="19" borderId="22" applyAlignment="1" pivotButton="0" quotePrefix="0" xfId="0">
      <alignment horizontal="left" vertical="top" wrapText="1"/>
    </xf>
    <xf numFmtId="0" fontId="43" fillId="20" borderId="22" applyAlignment="1" pivotButton="0" quotePrefix="0" xfId="0">
      <alignment horizontal="left" vertical="top" wrapText="1"/>
    </xf>
    <xf numFmtId="0" fontId="46" fillId="21" borderId="0" applyAlignment="1" pivotButton="0" quotePrefix="0" xfId="0">
      <alignment horizontal="left" vertical="center"/>
    </xf>
    <xf numFmtId="0" fontId="46" fillId="22" borderId="0" applyAlignment="1" pivotButton="0" quotePrefix="0" xfId="0">
      <alignment horizontal="left" vertical="center"/>
    </xf>
    <xf numFmtId="0" fontId="43" fillId="23" borderId="22" applyAlignment="1" pivotButton="0" quotePrefix="0" xfId="0">
      <alignment horizontal="left" vertical="top" wrapText="1"/>
    </xf>
    <xf numFmtId="0" fontId="43" fillId="24" borderId="22" applyAlignment="1" pivotButton="0" quotePrefix="0" xfId="0">
      <alignment horizontal="left" vertical="top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41" fillId="0" borderId="28" applyAlignment="1" pivotButton="0" quotePrefix="0" xfId="0">
      <alignment horizontal="left" vertical="center"/>
    </xf>
    <xf numFmtId="3" fontId="41" fillId="0" borderId="28" applyAlignment="1" pivotButton="0" quotePrefix="0" xfId="0">
      <alignment horizontal="left" vertical="center"/>
    </xf>
    <xf numFmtId="0" fontId="47" fillId="14" borderId="0" pivotButton="0" quotePrefix="0" xfId="0"/>
    <xf numFmtId="0" fontId="48" fillId="0" borderId="0" pivotButton="0" quotePrefix="0" xfId="0"/>
    <xf numFmtId="0" fontId="49" fillId="0" borderId="0" pivotButton="0" quotePrefix="0" xfId="0"/>
    <xf numFmtId="49" fontId="50" fillId="0" borderId="0" pivotButton="0" quotePrefix="0" xfId="0"/>
    <xf numFmtId="168" fontId="50" fillId="0" borderId="0" pivotButton="0" quotePrefix="0" xfId="0"/>
    <xf numFmtId="0" fontId="51" fillId="0" borderId="0" pivotButton="0" quotePrefix="0" xfId="0"/>
    <xf numFmtId="168" fontId="52" fillId="0" borderId="0" pivotButton="0" quotePrefix="0" xfId="0"/>
    <xf numFmtId="0" fontId="52" fillId="0" borderId="0" pivotButton="0" quotePrefix="0" xfId="0"/>
    <xf numFmtId="0" fontId="52" fillId="0" borderId="0" applyAlignment="1" pivotButton="0" quotePrefix="0" xfId="0">
      <alignment horizontal="center"/>
    </xf>
    <xf numFmtId="3" fontId="49" fillId="0" borderId="0" pivotButton="0" quotePrefix="0" xfId="0"/>
    <xf numFmtId="0" fontId="53" fillId="0" borderId="0" pivotButton="0" quotePrefix="0" xfId="0"/>
    <xf numFmtId="3" fontId="53" fillId="0" borderId="0" pivotButton="0" quotePrefix="0" xfId="0"/>
    <xf numFmtId="0" fontId="54" fillId="0" borderId="0" pivotButton="0" quotePrefix="0" xfId="0"/>
    <xf numFmtId="0" fontId="55" fillId="14" borderId="29" applyAlignment="1" pivotButton="0" quotePrefix="0" xfId="0">
      <alignment horizontal="left" vertical="center"/>
    </xf>
    <xf numFmtId="0" fontId="27" fillId="0" borderId="29" applyAlignment="1" pivotButton="0" quotePrefix="0" xfId="0">
      <alignment horizontal="center" vertical="center"/>
    </xf>
    <xf numFmtId="0" fontId="27" fillId="0" borderId="29" applyAlignment="1" pivotButton="0" quotePrefix="0" xfId="0">
      <alignment horizontal="center" vertical="center" wrapText="1"/>
    </xf>
    <xf numFmtId="0" fontId="0" fillId="0" borderId="29" pivotButton="0" quotePrefix="0" xfId="0"/>
    <xf numFmtId="0" fontId="56" fillId="25" borderId="30" applyAlignment="1" pivotButton="0" quotePrefix="0" xfId="0">
      <alignment horizontal="left" vertical="bottom" indent="1"/>
    </xf>
    <xf numFmtId="168" fontId="56" fillId="25" borderId="30" applyAlignment="1" pivotButton="0" quotePrefix="0" xfId="0">
      <alignment horizontal="center"/>
    </xf>
    <xf numFmtId="168" fontId="7" fillId="0" borderId="29" applyAlignment="1" pivotButton="0" quotePrefix="0" xfId="0">
      <alignment horizontal="right" vertical="center"/>
    </xf>
    <xf numFmtId="168" fontId="6" fillId="0" borderId="29" applyAlignment="1" pivotButton="0" quotePrefix="0" xfId="0">
      <alignment horizontal="right" vertical="center"/>
    </xf>
    <xf numFmtId="0" fontId="57" fillId="0" borderId="30" applyAlignment="1" pivotButton="0" quotePrefix="0" xfId="0">
      <alignment horizontal="left" vertical="bottom" indent="1"/>
    </xf>
    <xf numFmtId="168" fontId="57" fillId="0" borderId="30" applyAlignment="1" pivotButton="0" quotePrefix="0" xfId="0">
      <alignment horizontal="right" vertical="center"/>
    </xf>
    <xf numFmtId="168" fontId="58" fillId="25" borderId="30" applyAlignment="1" pivotButton="0" quotePrefix="0" xfId="0">
      <alignment horizontal="right" vertical="center"/>
    </xf>
    <xf numFmtId="164" fontId="6" fillId="0" borderId="29" applyAlignment="1" pivotButton="0" quotePrefix="0" xfId="0">
      <alignment horizontal="right" vertical="center"/>
    </xf>
    <xf numFmtId="0" fontId="58" fillId="26" borderId="30" pivotButton="0" quotePrefix="0" xfId="0"/>
    <xf numFmtId="3" fontId="58" fillId="26" borderId="30" pivotButton="0" quotePrefix="0" xfId="0"/>
    <xf numFmtId="0" fontId="56" fillId="25" borderId="30" pivotButton="0" quotePrefix="0" xfId="0"/>
    <xf numFmtId="0" fontId="56" fillId="25" borderId="30" applyAlignment="1" pivotButton="0" quotePrefix="0" xfId="0">
      <alignment horizontal="center"/>
    </xf>
    <xf numFmtId="0" fontId="57" fillId="0" borderId="30" pivotButton="0" quotePrefix="0" xfId="0"/>
    <xf numFmtId="168" fontId="57" fillId="0" borderId="30" pivotButton="0" quotePrefix="0" xfId="0"/>
    <xf numFmtId="168" fontId="58" fillId="25" borderId="30" pivotButton="0" quotePrefix="0" xfId="0"/>
    <xf numFmtId="164" fontId="56" fillId="25" borderId="30" applyAlignment="1" pivotButton="0" quotePrefix="0" xfId="0">
      <alignment horizontal="center"/>
    </xf>
    <xf numFmtId="164" fontId="7" fillId="0" borderId="29" applyAlignment="1" pivotButton="0" quotePrefix="0" xfId="0">
      <alignment horizontal="right" vertical="center"/>
    </xf>
    <xf numFmtId="3" fontId="57" fillId="0" borderId="30" applyAlignment="1" pivotButton="0" quotePrefix="0" xfId="0">
      <alignment horizontal="right" vertical="center"/>
    </xf>
    <xf numFmtId="3" fontId="58" fillId="25" borderId="30" applyAlignment="1" pivotButton="0" quotePrefix="0" xfId="0">
      <alignment horizontal="right" vertical="center"/>
    </xf>
    <xf numFmtId="169" fontId="8" fillId="0" borderId="29" applyAlignment="1" pivotButton="0" quotePrefix="0" xfId="0">
      <alignment horizontal="right" vertical="center"/>
    </xf>
    <xf numFmtId="169" fontId="6" fillId="0" borderId="29" applyAlignment="1" pivotButton="0" quotePrefix="0" xfId="0">
      <alignment horizontal="right" vertical="center"/>
    </xf>
    <xf numFmtId="4" fontId="57" fillId="0" borderId="30" applyAlignment="1" pivotButton="0" quotePrefix="0" xfId="0">
      <alignment horizontal="right" vertical="center"/>
    </xf>
    <xf numFmtId="4" fontId="58" fillId="25" borderId="30" applyAlignment="1" pivotButton="0" quotePrefix="0" xfId="0">
      <alignment horizontal="right" vertical="center"/>
    </xf>
    <xf numFmtId="0" fontId="59" fillId="27" borderId="29" pivotButton="0" quotePrefix="0" xfId="0"/>
    <xf numFmtId="3" fontId="57" fillId="0" borderId="30" pivotButton="0" quotePrefix="0" xfId="0"/>
    <xf numFmtId="3" fontId="58" fillId="25" borderId="30" applyAlignment="1" pivotButton="0" quotePrefix="0" xfId="0">
      <alignment horizontal="center"/>
    </xf>
    <xf numFmtId="0" fontId="52" fillId="0" borderId="29" applyAlignment="1" pivotButton="0" quotePrefix="0" xfId="0">
      <alignment horizontal="center"/>
    </xf>
    <xf numFmtId="3" fontId="58" fillId="25" borderId="30" pivotButton="0" quotePrefix="0" xfId="0"/>
    <xf numFmtId="3" fontId="49" fillId="0" borderId="29" pivotButton="0" quotePrefix="0" xfId="0"/>
    <xf numFmtId="0" fontId="58" fillId="25" borderId="30" pivotButton="0" quotePrefix="0" xfId="0"/>
    <xf numFmtId="3" fontId="53" fillId="0" borderId="29" pivotButton="0" quotePrefix="0" xfId="0"/>
    <xf numFmtId="4" fontId="57" fillId="0" borderId="30" pivotButton="0" quotePrefix="0" xfId="0"/>
    <xf numFmtId="4" fontId="58" fillId="25" borderId="30" pivotButton="0" quotePrefix="0" xfId="0"/>
    <xf numFmtId="0" fontId="60" fillId="28" borderId="0" applyAlignment="1" pivotButton="0" quotePrefix="0" xfId="0">
      <alignment horizontal="left" vertical="center"/>
    </xf>
    <xf numFmtId="0" fontId="61" fillId="28" borderId="0" applyAlignment="1" pivotButton="0" quotePrefix="0" xfId="0">
      <alignment horizontal="left" vertical="center"/>
    </xf>
    <xf numFmtId="0" fontId="62" fillId="0" borderId="31" applyAlignment="1" pivotButton="0" quotePrefix="0" xfId="0">
      <alignment horizontal="left"/>
    </xf>
    <xf numFmtId="164" fontId="62" fillId="0" borderId="31" applyAlignment="1" pivotButton="0" quotePrefix="0" xfId="0">
      <alignment horizontal="right"/>
    </xf>
    <xf numFmtId="10" fontId="62" fillId="0" borderId="31" applyAlignment="1" pivotButton="0" quotePrefix="0" xfId="0">
      <alignment horizontal="right"/>
    </xf>
    <xf numFmtId="3" fontId="62" fillId="0" borderId="31" applyAlignment="1" pivotButton="0" quotePrefix="0" xfId="0">
      <alignment horizontal="right"/>
    </xf>
    <xf numFmtId="0" fontId="47" fillId="28" borderId="0" applyAlignment="1" pivotButton="0" quotePrefix="0" xfId="0">
      <alignment horizontal="left" vertical="center"/>
    </xf>
    <xf numFmtId="0" fontId="47" fillId="28" borderId="31" applyAlignment="1" pivotButton="0" quotePrefix="0" xfId="0">
      <alignment horizontal="left"/>
    </xf>
    <xf numFmtId="0" fontId="47" fillId="29" borderId="0" applyAlignment="1" pivotButton="0" quotePrefix="0" xfId="0">
      <alignment horizontal="center"/>
    </xf>
    <xf numFmtId="0" fontId="47" fillId="28" borderId="0" applyAlignment="1" pivotButton="0" quotePrefix="0" xfId="0">
      <alignment horizontal="center"/>
    </xf>
    <xf numFmtId="0" fontId="63" fillId="30" borderId="31" applyAlignment="1" pivotButton="0" quotePrefix="0" xfId="0">
      <alignment horizontal="left"/>
    </xf>
    <xf numFmtId="164" fontId="63" fillId="30" borderId="31" applyAlignment="1" pivotButton="0" quotePrefix="0" xfId="0">
      <alignment horizontal="right"/>
    </xf>
    <xf numFmtId="0" fontId="64" fillId="30" borderId="32" applyAlignment="1" pivotButton="0" quotePrefix="0" xfId="0">
      <alignment horizontal="left" vertical="center"/>
    </xf>
    <xf numFmtId="164" fontId="64" fillId="30" borderId="33" applyAlignment="1" pivotButton="0" quotePrefix="0" xfId="0">
      <alignment horizontal="right" vertical="center"/>
    </xf>
    <xf numFmtId="0" fontId="65" fillId="0" borderId="0" applyAlignment="1" pivotButton="0" quotePrefix="0" xfId="0">
      <alignment horizontal="left"/>
    </xf>
    <xf numFmtId="0" fontId="66" fillId="28" borderId="0" applyAlignment="1" pivotButton="0" quotePrefix="0" xfId="0">
      <alignment horizontal="left" vertical="center"/>
    </xf>
    <xf numFmtId="0" fontId="67" fillId="28" borderId="0" applyAlignment="1" pivotButton="0" quotePrefix="0" xfId="0">
      <alignment horizontal="left"/>
    </xf>
    <xf numFmtId="0" fontId="49" fillId="0" borderId="31" applyAlignment="1" pivotButton="0" quotePrefix="0" xfId="0">
      <alignment horizontal="left"/>
    </xf>
    <xf numFmtId="164" fontId="50" fillId="0" borderId="31" applyAlignment="1" pivotButton="0" quotePrefix="0" xfId="0">
      <alignment horizontal="right"/>
    </xf>
    <xf numFmtId="0" fontId="53" fillId="30" borderId="31" applyAlignment="1" pivotButton="0" quotePrefix="0" xfId="0">
      <alignment horizontal="left"/>
    </xf>
    <xf numFmtId="10" fontId="50" fillId="0" borderId="31" applyAlignment="1" pivotButton="0" quotePrefix="0" xfId="0">
      <alignment horizontal="right"/>
    </xf>
    <xf numFmtId="3" fontId="50" fillId="0" borderId="0" pivotButton="0" quotePrefix="0" xfId="0"/>
    <xf numFmtId="0" fontId="68" fillId="14" borderId="0" pivotButton="0" quotePrefix="0" xfId="0"/>
    <xf numFmtId="0" fontId="68" fillId="0" borderId="0" pivotButton="0" quotePrefix="0" xfId="0"/>
    <xf numFmtId="0" fontId="69" fillId="28" borderId="0" pivotButton="0" quotePrefix="0" xfId="0"/>
    <xf numFmtId="0" fontId="70" fillId="28" borderId="0" pivotButton="0" quotePrefix="0" xfId="0"/>
    <xf numFmtId="0" fontId="76" fillId="29" borderId="0" applyAlignment="1" pivotButton="0" quotePrefix="0" xfId="0">
      <alignment horizontal="center"/>
    </xf>
    <xf numFmtId="0" fontId="0" fillId="29" borderId="0" pivotButton="0" quotePrefix="0" xfId="0"/>
    <xf numFmtId="0" fontId="71" fillId="31" borderId="30" pivotButton="0" quotePrefix="0" xfId="0"/>
    <xf numFmtId="0" fontId="71" fillId="31" borderId="30" applyAlignment="1" pivotButton="0" quotePrefix="0" xfId="0">
      <alignment horizontal="center"/>
    </xf>
    <xf numFmtId="0" fontId="72" fillId="0" borderId="30" pivotButton="0" quotePrefix="0" xfId="0"/>
    <xf numFmtId="2" fontId="72" fillId="0" borderId="30" pivotButton="0" quotePrefix="0" xfId="0"/>
    <xf numFmtId="3" fontId="72" fillId="0" borderId="30" pivotButton="0" quotePrefix="0" xfId="0"/>
    <xf numFmtId="4" fontId="72" fillId="0" borderId="30" pivotButton="0" quotePrefix="0" xfId="0"/>
    <xf numFmtId="0" fontId="73" fillId="30" borderId="30" pivotButton="0" quotePrefix="0" xfId="0"/>
    <xf numFmtId="3" fontId="73" fillId="30" borderId="30" pivotButton="0" quotePrefix="0" xfId="0"/>
    <xf numFmtId="0" fontId="74" fillId="31" borderId="30" pivotButton="0" quotePrefix="0" xfId="0"/>
    <xf numFmtId="3" fontId="74" fillId="31" borderId="30" pivotButton="0" quotePrefix="0" xfId="0"/>
    <xf numFmtId="0" fontId="75" fillId="27" borderId="0" pivotButton="0" quotePrefix="0" xfId="0"/>
    <xf numFmtId="0" fontId="0" fillId="27" borderId="0" pivotButton="0" quotePrefix="0" xfId="0"/>
    <xf numFmtId="0" fontId="73" fillId="31" borderId="30" pivotButton="0" quotePrefix="0" xfId="0"/>
    <xf numFmtId="3" fontId="73" fillId="31" borderId="30" pivotButton="0" quotePrefix="0" xfId="0"/>
    <xf numFmtId="3" fontId="6" fillId="9" borderId="1" applyAlignment="1" pivotButton="0" quotePrefix="0" xfId="0">
      <alignment horizontal="left" vertical="bottom" indent="1"/>
    </xf>
    <xf numFmtId="0" fontId="73" fillId="30" borderId="1" applyAlignment="1" pivotButton="0" quotePrefix="0" xfId="0">
      <alignment horizontal="left" vertical="bottom" indent="1"/>
    </xf>
    <xf numFmtId="3" fontId="73" fillId="30" borderId="1" applyAlignment="1" pivotButton="0" quotePrefix="0" xfId="0">
      <alignment horizontal="left" vertical="bottom" indent="1"/>
    </xf>
    <xf numFmtId="3" fontId="8" fillId="0" borderId="1" applyAlignment="1" pivotButton="0" quotePrefix="0" xfId="0">
      <alignment horizontal="left" vertical="bottom" indent="2"/>
    </xf>
    <xf numFmtId="0" fontId="65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7" borderId="1" applyAlignment="1" applyProtection="1" pivotButton="0" quotePrefix="0" xfId="0">
      <alignment horizontal="left" vertical="center"/>
      <protection locked="0" hidden="0"/>
    </xf>
    <xf numFmtId="0" fontId="69" fillId="28" borderId="29" applyAlignment="1" pivotButton="0" quotePrefix="0" xfId="0">
      <alignment horizontal="left" vertical="center"/>
    </xf>
    <xf numFmtId="0" fontId="70" fillId="28" borderId="29" applyAlignment="1" pivotButton="0" quotePrefix="0" xfId="0">
      <alignment horizontal="left"/>
    </xf>
    <xf numFmtId="0" fontId="47" fillId="0" borderId="29" applyAlignment="1" pivotButton="0" quotePrefix="0" xfId="0">
      <alignment horizontal="left" vertical="center"/>
    </xf>
    <xf numFmtId="0" fontId="0" fillId="27" borderId="29" pivotButton="0" quotePrefix="0" xfId="0"/>
    <xf numFmtId="0" fontId="75" fillId="27" borderId="29" applyAlignment="1" pivotButton="0" quotePrefix="0" xfId="0">
      <alignment horizontal="left"/>
    </xf>
    <xf numFmtId="164" fontId="50" fillId="27" borderId="29" applyAlignment="1" pivotButton="0" quotePrefix="0" xfId="0">
      <alignment horizontal="right"/>
    </xf>
    <xf numFmtId="0" fontId="72" fillId="0" borderId="30" applyAlignment="1" pivotButton="0" quotePrefix="0" xfId="0">
      <alignment horizontal="left"/>
    </xf>
    <xf numFmtId="3" fontId="72" fillId="0" borderId="30" applyAlignment="1" pivotButton="0" quotePrefix="0" xfId="0">
      <alignment horizontal="right"/>
    </xf>
    <xf numFmtId="0" fontId="73" fillId="30" borderId="30" applyAlignment="1" pivotButton="0" quotePrefix="0" xfId="0">
      <alignment horizontal="left"/>
    </xf>
    <xf numFmtId="3" fontId="73" fillId="30" borderId="30" applyAlignment="1" pivotButton="0" quotePrefix="0" xfId="0">
      <alignment horizontal="right"/>
    </xf>
    <xf numFmtId="168" fontId="72" fillId="0" borderId="30" applyAlignment="1" pivotButton="0" quotePrefix="0" xfId="0">
      <alignment horizontal="right"/>
    </xf>
    <xf numFmtId="168" fontId="72" fillId="0" borderId="30" pivotButton="0" quotePrefix="0" xfId="0"/>
    <xf numFmtId="0" fontId="74" fillId="31" borderId="30" applyAlignment="1" pivotButton="0" quotePrefix="0" xfId="0">
      <alignment horizontal="left"/>
    </xf>
    <xf numFmtId="3" fontId="74" fillId="31" borderId="30" applyAlignment="1" pivotButton="0" quotePrefix="0" xfId="0">
      <alignment horizontal="right"/>
    </xf>
    <xf numFmtId="0" fontId="53" fillId="0" borderId="29" applyAlignment="1" pivotButton="0" quotePrefix="0" xfId="0">
      <alignment horizontal="left"/>
    </xf>
    <xf numFmtId="164" fontId="63" fillId="0" borderId="29" applyAlignment="1" pivotButton="0" quotePrefix="0" xfId="0">
      <alignment horizontal="right"/>
    </xf>
    <xf numFmtId="0" fontId="75" fillId="27" borderId="29" pivotButton="0" quotePrefix="0" xfId="0"/>
    <xf numFmtId="0" fontId="49" fillId="0" borderId="29" applyAlignment="1" pivotButton="0" quotePrefix="0" xfId="0">
      <alignment horizontal="left"/>
    </xf>
    <xf numFmtId="164" fontId="62" fillId="0" borderId="29" applyAlignment="1" pivotButton="0" quotePrefix="0" xfId="0">
      <alignment horizontal="right"/>
    </xf>
    <xf numFmtId="0" fontId="69" fillId="28" borderId="34" applyAlignment="1" pivotButton="0" quotePrefix="0" xfId="0">
      <alignment horizontal="left" vertical="center"/>
    </xf>
    <xf numFmtId="0" fontId="70" fillId="28" borderId="34" applyAlignment="1" pivotButton="0" quotePrefix="0" xfId="0">
      <alignment horizontal="left"/>
    </xf>
    <xf numFmtId="0" fontId="77" fillId="0" borderId="0" pivotButton="0" quotePrefix="0" xfId="0"/>
    <xf numFmtId="3" fontId="0" fillId="0" borderId="30" pivotButton="0" quotePrefix="0" xfId="0"/>
    <xf numFmtId="0" fontId="0" fillId="0" borderId="30" pivotButton="0" quotePrefix="0" xfId="0"/>
    <xf numFmtId="10" fontId="0" fillId="0" borderId="3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C00000"/>
        <sz val="18"/>
      </font>
    </dxf>
    <dxf>
      <font>
        <b val="1"/>
        <color rgb="FF548235"/>
        <sz val="18"/>
      </font>
    </dxf>
    <dxf>
      <font>
        <name val="Calibri"/>
        <b val="1"/>
        <color rgb="00C0473F"/>
        <sz val="16"/>
      </font>
    </dxf>
    <dxf>
      <font>
        <name val="Calibri"/>
        <b val="1"/>
        <color rgb="002E8B6E"/>
        <sz val="16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Revenue, EBITDA &amp; PAT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'Annual_Summary'!B8</f>
            </strRef>
          </tx>
          <spPr>
            <a:ln xmlns:a="http://schemas.openxmlformats.org/drawingml/2006/main" w="22000">
              <a:solidFill>
                <a:srgbClr val="2E7DA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'Annual_Summary'!$C$8:$G$8</f>
            </numRef>
          </val>
          <smooth val="0"/>
        </ser>
        <ser>
          <idx val="1"/>
          <order val="1"/>
          <tx>
            <strRef>
              <f>'Annual_Summary'!B22</f>
            </strRef>
          </tx>
          <spPr>
            <a:ln xmlns:a="http://schemas.openxmlformats.org/drawingml/2006/main" w="22000">
              <a:solidFill>
                <a:srgbClr val="17A2A2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'Annual_Summary'!$C$22:$G$22</f>
            </numRef>
          </val>
          <smooth val="0"/>
        </ser>
        <ser>
          <idx val="2"/>
          <order val="2"/>
          <tx>
            <strRef>
              <f>'Annual_Summary'!B26</f>
            </strRef>
          </tx>
          <spPr>
            <a:ln xmlns:a="http://schemas.openxmlformats.org/drawingml/2006/main" w="22000">
              <a:solidFill>
                <a:srgbClr val="D9A44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'Annual_Summary'!$C$26:$G$26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₹#,##0;[Red](₹#,##0)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DSCR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'DSCR'!B14</f>
            </strRef>
          </tx>
          <spPr>
            <a:ln xmlns:a="http://schemas.openxmlformats.org/drawingml/2006/main" w="25000">
              <a:solidFill>
                <a:srgbClr val="2E8B6E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'DSCR'!$C$4:$G$4</f>
            </numRef>
          </cat>
          <val>
            <numRef>
              <f>'DSCR'!$C$14:$G$14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Structure — Year 1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DA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7A2A2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9A44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A5195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E8B6E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0473F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BC8034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6B8F3A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cat>
            <numRef>
              <f>'Annual_Summary'!$B$10:$B$17</f>
            </numRef>
          </cat>
          <val>
            <numRef>
              <f>'Annual_Summary'!$C$10:$C$17</f>
            </numRef>
          </val>
        </ser>
        <firstSliceAng val="0"/>
        <holeSize val="55"/>
      </doughnutChart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Liquidity &amp; Leverage (x)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'Dashboard'!C72</f>
            </strRef>
          </tx>
          <spPr>
            <a:solidFill xmlns:a="http://schemas.openxmlformats.org/drawingml/2006/main">
              <a:srgbClr val="2E7DA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'Dashboard'!$C$73:$C$74</f>
            </numRef>
          </val>
        </ser>
        <ser>
          <idx val="1"/>
          <order val="1"/>
          <tx>
            <strRef>
              <f>'Dashboard'!D72</f>
            </strRef>
          </tx>
          <spPr>
            <a:solidFill xmlns:a="http://schemas.openxmlformats.org/drawingml/2006/main">
              <a:srgbClr val="D9A44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'Dashboard'!$D$73:$D$74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Profitability Margins (%)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'Dashboard'!C76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'Dashboard'!$C$77:$C$78</f>
            </numRef>
          </val>
        </ser>
        <ser>
          <idx val="1"/>
          <order val="1"/>
          <tx>
            <strRef>
              <f>'Dashboard'!D76</f>
            </strRef>
          </tx>
          <spPr>
            <a:solidFill xmlns:a="http://schemas.openxmlformats.org/drawingml/2006/main">
              <a:srgbClr val="7A5195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'Dashboard'!$D$77:$D$78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%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Working Capital Cycle (Days)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'Dashboard'!C80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'Dashboard'!$B$81:$B$84</f>
            </numRef>
          </cat>
          <val>
            <numRef>
              <f>'Dashboard'!$C$81:$C$84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903999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14</row>
      <rowOff>0</rowOff>
    </from>
    <ext cx="4176000" cy="309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32</row>
      <rowOff>0</rowOff>
    </from>
    <ext cx="5903999" cy="309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32</row>
      <rowOff>0</rowOff>
    </from>
    <ext cx="4176000" cy="309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50</row>
      <rowOff>0</rowOff>
    </from>
    <ext cx="5903999" cy="309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50</row>
      <rowOff>0</rowOff>
    </from>
    <ext cx="4176000" cy="3096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31"/>
  <sheetViews>
    <sheetView showFormulas="0" showGridLines="0" showRowColHeaders="1" showZeros="1" rightToLeft="0" tabSelected="0" showOutlineSymbols="1" defaultGridColor="1" view="normal" topLeftCell="A5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34" customWidth="1" style="81" min="2" max="2"/>
    <col width="60" customWidth="1" style="81" min="3" max="3"/>
  </cols>
  <sheetData>
    <row r="2" ht="33.75" customHeight="1" s="82">
      <c r="B2" s="83" t="inlineStr">
        <is>
          <t>CREDIT MONITORING ARRANGEMENT (CMA) REPORT</t>
        </is>
      </c>
    </row>
    <row r="3" ht="18" customHeight="1" s="82">
      <c r="B3" s="84" t="inlineStr">
        <is>
          <t>Projected Financials for Bank Term-Loan &amp; Working-Capital Appraisal</t>
        </is>
      </c>
    </row>
    <row r="5" ht="15" customHeight="1" s="82">
      <c r="B5" s="85" t="inlineStr">
        <is>
          <t>Name of the Unit</t>
        </is>
      </c>
      <c r="C5" s="86">
        <f>Assumptions!C5</f>
        <v/>
      </c>
    </row>
    <row r="6" ht="15" customHeight="1" s="82">
      <c r="B6" s="85" t="inlineStr">
        <is>
          <t>Constitution</t>
        </is>
      </c>
      <c r="C6" s="86">
        <f>Assumptions!C6</f>
        <v/>
      </c>
    </row>
    <row r="7" ht="15" customHeight="1" s="82">
      <c r="B7" s="85" t="inlineStr">
        <is>
          <t>Line of Activity</t>
        </is>
      </c>
      <c r="C7" s="86">
        <f>Assumptions!C7</f>
        <v/>
      </c>
    </row>
    <row r="8" ht="15" customHeight="1" s="82">
      <c r="B8" s="85" t="inlineStr">
        <is>
          <t>Term Loan applied for (₹)</t>
        </is>
      </c>
      <c r="C8" s="87">
        <f>Assumptions!C8</f>
        <v/>
      </c>
    </row>
    <row r="9" ht="15" customHeight="1" s="82">
      <c r="B9" s="85" t="inlineStr">
        <is>
          <t>Promoters' Capital (₹)</t>
        </is>
      </c>
      <c r="C9" s="87">
        <f>Assumptions!C9</f>
        <v/>
      </c>
    </row>
    <row r="10" ht="15" customHeight="1" s="82">
      <c r="B10" s="85" t="inlineStr">
        <is>
          <t>Projection horizon</t>
        </is>
      </c>
      <c r="C10" s="88" t="inlineStr">
        <is>
          <t>5 years (60 months), monthly</t>
        </is>
      </c>
    </row>
    <row r="12" ht="15" customHeight="1" s="82">
      <c r="B12" s="89" t="inlineStr">
        <is>
          <t>CONTENTS</t>
        </is>
      </c>
    </row>
    <row r="13" ht="15" customHeight="1" s="82">
      <c r="B13" s="90" t="inlineStr">
        <is>
          <t>Assumptions</t>
        </is>
      </c>
      <c r="C13" s="88" t="inlineStr">
        <is>
          <t>All input variables — the only sheet you type into (blue cells)</t>
        </is>
      </c>
    </row>
    <row r="14" ht="15" customHeight="1" s="82">
      <c r="B14" s="90" t="inlineStr">
        <is>
          <t>Revenue Build-Up</t>
        </is>
      </c>
      <c r="C14" s="88" t="inlineStr">
        <is>
          <t>Revenue build-up — volume x price for every line, plus segments</t>
        </is>
      </c>
    </row>
    <row r="15" ht="15" customHeight="1" s="82">
      <c r="B15" s="90" t="inlineStr">
        <is>
          <t>Expenses</t>
        </is>
      </c>
      <c r="C15" s="88" t="inlineStr">
        <is>
          <t>60-month operating expenses, variable and period costs</t>
        </is>
      </c>
    </row>
    <row r="16" ht="15" customHeight="1" s="82">
      <c r="B16" s="90" t="inlineStr">
        <is>
          <t>P &amp; L</t>
        </is>
      </c>
      <c r="C16" s="88" t="inlineStr">
        <is>
          <t>60-month P&amp;L: revenue by line, EBITDA -&gt; EBIT -&gt; PBT -&gt; PAT</t>
        </is>
      </c>
    </row>
    <row r="17" ht="15" customHeight="1" s="82">
      <c r="B17" s="90" t="inlineStr">
        <is>
          <t>Annual_Summary</t>
        </is>
      </c>
      <c r="C17" s="88" t="inlineStr">
        <is>
          <t>Consolidated 5-year figures feeding every CMA form</t>
        </is>
      </c>
    </row>
    <row r="18" ht="15" customHeight="1" s="82">
      <c r="B18" s="90" t="inlineStr">
        <is>
          <t>Form_II_Operating</t>
        </is>
      </c>
      <c r="C18" s="88" t="inlineStr">
        <is>
          <t>Form II — Operating statement for credit appraisal</t>
        </is>
      </c>
    </row>
    <row r="19" ht="15" customHeight="1" s="82">
      <c r="B19" s="90" t="inlineStr">
        <is>
          <t>Form_III_BalanceSheet</t>
        </is>
      </c>
      <c r="C19" s="88" t="inlineStr">
        <is>
          <t>Form III — Projected balance sheet</t>
        </is>
      </c>
    </row>
    <row r="20" ht="15" customHeight="1" s="82">
      <c r="B20" s="90" t="inlineStr">
        <is>
          <t>Form_IV_CA_CL</t>
        </is>
      </c>
      <c r="C20" s="88" t="inlineStr">
        <is>
          <t>Form IV — Current assets &amp; current liabilities</t>
        </is>
      </c>
    </row>
    <row r="21" ht="15" customHeight="1" s="82">
      <c r="B21" s="90" t="inlineStr">
        <is>
          <t>Form_V_MPBF</t>
        </is>
      </c>
      <c r="C21" s="88" t="inlineStr">
        <is>
          <t>Form V — Maximum permissible bank finance (Tandon)</t>
        </is>
      </c>
    </row>
    <row r="22" ht="15" customHeight="1" s="82">
      <c r="B22" s="90" t="inlineStr">
        <is>
          <t>WC &amp; CC-OD Limit</t>
        </is>
      </c>
      <c r="C22" s="88" t="inlineStr">
        <is>
          <t>Working capital assessment and the term-loan / WC borrowing split</t>
        </is>
      </c>
    </row>
    <row r="23" ht="15" customHeight="1" s="82">
      <c r="B23" s="90" t="inlineStr">
        <is>
          <t>Form_VI_FundFlow</t>
        </is>
      </c>
      <c r="C23" s="88" t="inlineStr">
        <is>
          <t>Form VI — Fund-flow statement</t>
        </is>
      </c>
    </row>
    <row r="24" ht="15" customHeight="1" s="82">
      <c r="B24" s="90" t="inlineStr">
        <is>
          <t>Repayment</t>
        </is>
      </c>
      <c r="C24" s="88" t="inlineStr">
        <is>
          <t>Term-loan repayment schedule, annual and month by month</t>
        </is>
      </c>
    </row>
    <row r="25" ht="15" customHeight="1" s="82">
      <c r="B25" s="90" t="inlineStr">
        <is>
          <t>Existing Loan</t>
        </is>
      </c>
      <c r="C25" s="88" t="inlineStr">
        <is>
          <t>Existing loan / liability details, where applicable</t>
        </is>
      </c>
    </row>
    <row r="26" ht="15" customHeight="1" s="82">
      <c r="B26" s="90" t="inlineStr">
        <is>
          <t>DSCR</t>
        </is>
      </c>
      <c r="C26" s="88" t="inlineStr">
        <is>
          <t>Debt-service coverage year by year</t>
        </is>
      </c>
    </row>
    <row r="27">
      <c r="B27" s="90" t="inlineStr">
        <is>
          <t>Ratios</t>
        </is>
      </c>
      <c r="C27" s="88" t="inlineStr">
        <is>
          <t>Key ratios — liquidity, leverage, profitability, coverage</t>
        </is>
      </c>
    </row>
    <row r="28" ht="15" customHeight="1" s="82">
      <c r="B28" s="88" t="inlineStr">
        <is>
          <t>Conclusion</t>
        </is>
      </c>
      <c r="C28" t="inlineStr">
        <is>
          <t>The verdict the figures support</t>
        </is>
      </c>
    </row>
    <row r="29">
      <c r="B29" s="90" t="inlineStr">
        <is>
          <t>Dashboard</t>
        </is>
      </c>
      <c r="C29" s="88" t="inlineStr">
        <is>
          <t>Charts: revenue, EBITDA, PAT, DSCR</t>
        </is>
      </c>
    </row>
    <row r="30">
      <c r="B30" s="90" t="n"/>
      <c r="C30" s="88" t="n"/>
    </row>
    <row r="31"/>
  </sheetData>
  <mergeCells count="3">
    <mergeCell ref="B12:C12"/>
    <mergeCell ref="B3:C3"/>
    <mergeCell ref="B2:C2"/>
  </mergeCells>
  <hyperlinks>
    <hyperlink ref="B13" location="Assumptions!A1" display="Assumptions"/>
    <hyperlink ref="B14" location="'Fleet Operations'!A1" display="Production"/>
    <hyperlink ref="B15" location="'Revenue Plan'!A1" display="Sales"/>
    <hyperlink ref="B16" location="Expenses!A1" display="Expenses"/>
    <hyperlink ref="B17" location="'P &amp; L'!A1" display="Profit"/>
    <hyperlink ref="B18" location="Annual_Summary!A1" display="Annual_Summary"/>
    <hyperlink ref="B19" location="Form_II_Operating!A1" display="Form_II_Operating"/>
    <hyperlink ref="B20" location="Form_III_BalanceSheet!A1" display="Form_III_BalanceSheet"/>
    <hyperlink ref="B21" location="Form_IV_CA_CL!A1" display="Form_IV_CA_CL"/>
    <hyperlink ref="B22" location="Form_V_MPBF!A1" display="Form_V_MPBF"/>
    <hyperlink ref="B23" location="Form_VI_FundFlow!A1" display="Form_VI_FundFlow"/>
    <hyperlink ref="B24" location="Repayment!A1" display="Repayment"/>
    <hyperlink ref="B25" location="DSCR!A1" display="DSCR"/>
    <hyperlink ref="B26" location="Ratios!A1" display="Ratios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B7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6" customWidth="1" style="81" min="3" max="7"/>
    <col width="13" customWidth="1" style="82" min="4" max="4"/>
    <col width="9" customWidth="1" style="82" min="5" max="5"/>
    <col width="9" customWidth="1" style="82" min="6" max="6"/>
    <col width="9" customWidth="1" style="82" min="7" max="7"/>
    <col width="9" customWidth="1" style="81" min="8" max="14"/>
    <col width="9" customWidth="1" style="82" min="9" max="9"/>
    <col width="9" customWidth="1" style="82" min="10" max="10"/>
    <col width="9" customWidth="1" style="82" min="11" max="11"/>
    <col width="9" customWidth="1" style="82" min="12" max="12"/>
    <col width="9" customWidth="1" style="82" min="13" max="13"/>
    <col width="9" customWidth="1" style="82" min="14" max="14"/>
    <col width="2" customWidth="1" style="81" min="15" max="15"/>
    <col width="30" customWidth="1" style="81" min="16" max="16"/>
  </cols>
  <sheetData>
    <row r="1" ht="25.5" customHeight="1" s="82">
      <c r="A1" s="113" t="inlineStr">
        <is>
          <t>ASSUMPTIONS  —  KEY INPUTS</t>
        </is>
      </c>
    </row>
    <row r="2" ht="15" customHeight="1" s="82">
      <c r="A2" s="114" t="inlineStr">
        <is>
          <t>Enter values only in the blue/shaded cells.  Every other sheet updates automatically.</t>
        </is>
      </c>
    </row>
    <row r="3" ht="18" customHeight="1" s="82">
      <c r="B3" s="248" t="inlineStr">
        <is>
          <t>TOTAL COST OF PROJECT</t>
        </is>
      </c>
      <c r="C3" s="249">
        <f>C8+C9</f>
        <v/>
      </c>
      <c r="D3" s="282" t="inlineStr">
        <is>
          <t>₹      =  promoters' capital  +  term loan applied for</t>
        </is>
      </c>
      <c r="H3" s="250" t="n"/>
    </row>
    <row r="4" ht="18" customHeight="1" s="82">
      <c r="B4" s="115" t="inlineStr">
        <is>
          <t>A.  COMPANY &amp; LOAN PARTICULARS</t>
        </is>
      </c>
      <c r="S4" s="116" t="inlineStr">
        <is>
          <t>Industry</t>
        </is>
      </c>
      <c r="T4" s="116" t="inlineStr">
        <is>
          <t>CapLabel</t>
        </is>
      </c>
      <c r="U4" s="116" t="inlineStr">
        <is>
          <t>ProdUnitLabel</t>
        </is>
      </c>
      <c r="V4" s="116" t="inlineStr">
        <is>
          <t>Cost1Long</t>
        </is>
      </c>
      <c r="W4" s="116" t="inlineStr">
        <is>
          <t>Cost1Short</t>
        </is>
      </c>
      <c r="X4" s="116" t="inlineStr">
        <is>
          <t>Cost2Long</t>
        </is>
      </c>
      <c r="Y4" s="116" t="inlineStr">
        <is>
          <t>Cost2Short</t>
        </is>
      </c>
      <c r="Z4" s="116" t="inlineStr">
        <is>
          <t>Cost3Short</t>
        </is>
      </c>
      <c r="AA4" s="193" t="inlineStr">
        <is>
          <t>ProdSheetTitle</t>
        </is>
      </c>
      <c r="AB4" s="193" t="inlineStr">
        <is>
          <t>SalesSheetTitle</t>
        </is>
      </c>
    </row>
    <row r="5" ht="15" customHeight="1" s="82">
      <c r="B5" s="88" t="inlineStr">
        <is>
          <t>Name of the Unit</t>
        </is>
      </c>
      <c r="C5" s="117" t="n"/>
      <c r="H5" s="118" t="n"/>
      <c r="I5" s="119" t="inlineStr">
        <is>
          <t>INDUSTRY / BUSINESS TYPE  →</t>
        </is>
      </c>
      <c r="J5" s="120" t="n"/>
      <c r="S5" s="81" t="inlineStr">
        <is>
          <t>Agriculture &amp; Farming</t>
        </is>
      </c>
      <c r="T5" s="81" t="inlineStr">
        <is>
          <t>Installed Capacity (land / livestock / output)</t>
        </is>
      </c>
      <c r="U5" s="81" t="inlineStr">
        <is>
          <t>Production (units)</t>
        </is>
      </c>
      <c r="V5" s="81" t="inlineStr">
        <is>
          <t>Seeds &amp; fertiliser cost per unit (Year 1)</t>
        </is>
      </c>
      <c r="W5" s="81" t="inlineStr">
        <is>
          <t>Seeds &amp; fertiliser</t>
        </is>
      </c>
      <c r="X5" s="81" t="inlineStr">
        <is>
          <t>Irrigation &amp; power cost per unit (Year 1)</t>
        </is>
      </c>
      <c r="Y5" s="81" t="inlineStr">
        <is>
          <t>Irrigation &amp; power</t>
        </is>
      </c>
      <c r="Z5" s="81" t="inlineStr">
        <is>
          <t>Farm overheads</t>
        </is>
      </c>
      <c r="AA5" s="198" t="inlineStr">
        <is>
          <t>Production Plan</t>
        </is>
      </c>
      <c r="AB5" s="198" t="inlineStr">
        <is>
          <t>Sales Plan</t>
        </is>
      </c>
    </row>
    <row r="6" ht="15" customHeight="1" s="82">
      <c r="B6" s="88" t="inlineStr">
        <is>
          <t>Constitution (Proprietor / Partnership / Pvt Ltd)</t>
        </is>
      </c>
      <c r="C6" s="117" t="n"/>
      <c r="H6" s="118" t="n"/>
      <c r="S6" s="81" t="inlineStr">
        <is>
          <t>Technology &amp; Software</t>
        </is>
      </c>
      <c r="T6" s="81" t="inlineStr">
        <is>
          <t>Service Delivery Capacity (billable hours/licenses p.a.)</t>
        </is>
      </c>
      <c r="U6" s="81" t="inlineStr">
        <is>
          <t>Service delivery (units)</t>
        </is>
      </c>
      <c r="V6" s="81" t="inlineStr">
        <is>
          <t>Cloud hosting cost per unit (Year 1)</t>
        </is>
      </c>
      <c r="W6" s="81" t="inlineStr">
        <is>
          <t>Cloud hosting</t>
        </is>
      </c>
      <c r="X6" s="81" t="inlineStr">
        <is>
          <t>API services &amp; software licence cost per unit (Year 1)</t>
        </is>
      </c>
      <c r="Y6" s="81" t="inlineStr">
        <is>
          <t>API services &amp; licences</t>
        </is>
      </c>
      <c r="Z6" s="81" t="inlineStr">
        <is>
          <t>Engineering overheads</t>
        </is>
      </c>
      <c r="AA6" s="198" t="inlineStr">
        <is>
          <t>Service Delivery Plan</t>
        </is>
      </c>
      <c r="AB6" s="198" t="inlineStr">
        <is>
          <t>Revenue Plan</t>
        </is>
      </c>
    </row>
    <row r="7" ht="15" customHeight="1" s="82">
      <c r="B7" s="88" t="inlineStr">
        <is>
          <t>Line of Activity / Product</t>
        </is>
      </c>
      <c r="C7" s="117" t="n"/>
      <c r="H7" s="118" t="n"/>
      <c r="S7" s="81" t="inlineStr">
        <is>
          <t>Retail &amp; E-Commerce</t>
        </is>
      </c>
      <c r="T7" s="81" t="inlineStr">
        <is>
          <t>Annual Purchase Capacity (units for resale)</t>
        </is>
      </c>
      <c r="U7" s="81" t="inlineStr">
        <is>
          <t>Purchase (units)</t>
        </is>
      </c>
      <c r="V7" s="81" t="inlineStr">
        <is>
          <t>Inventory purchase cost per unit (Year 1)</t>
        </is>
      </c>
      <c r="W7" s="81" t="inlineStr">
        <is>
          <t>Inventory purchase</t>
        </is>
      </c>
      <c r="X7" s="81" t="inlineStr">
        <is>
          <t>Packaging &amp; freight cost per unit (Year 1)</t>
        </is>
      </c>
      <c r="Y7" s="81" t="inlineStr">
        <is>
          <t>Packaging &amp; freight</t>
        </is>
      </c>
      <c r="Z7" s="81" t="inlineStr">
        <is>
          <t>Store overheads</t>
        </is>
      </c>
      <c r="AA7" s="198" t="inlineStr">
        <is>
          <t>Purchase / Inventory Plan</t>
        </is>
      </c>
      <c r="AB7" s="198" t="inlineStr">
        <is>
          <t>Sales Plan</t>
        </is>
      </c>
    </row>
    <row r="8" ht="15" customHeight="1" s="82">
      <c r="B8" s="88" t="inlineStr">
        <is>
          <t>Term Loan applied for</t>
        </is>
      </c>
      <c r="C8" s="121" t="n"/>
      <c r="D8" s="283" t="inlineStr">
        <is>
          <t>₹</t>
        </is>
      </c>
      <c r="H8" s="118" t="n"/>
      <c r="S8" s="81" t="inlineStr">
        <is>
          <t>Manufacturing</t>
        </is>
      </c>
      <c r="T8" s="81" t="inlineStr">
        <is>
          <t>Installed Capacity (state your own unit -- tonnes/kg/pieces/sq.ft p.a. -- matching what you specified)</t>
        </is>
      </c>
      <c r="U8" s="81" t="inlineStr">
        <is>
          <t>Production (units)</t>
        </is>
      </c>
      <c r="V8" s="81" t="inlineStr">
        <is>
          <t>Raw material cost per unit (Year 1)</t>
        </is>
      </c>
      <c r="W8" s="81" t="inlineStr">
        <is>
          <t>Raw materials</t>
        </is>
      </c>
      <c r="X8" s="81" t="inlineStr">
        <is>
          <t>Power &amp; fuel cost per unit (Year 1)</t>
        </is>
      </c>
      <c r="Y8" s="81" t="inlineStr">
        <is>
          <t>Power &amp; fuel</t>
        </is>
      </c>
      <c r="Z8" s="81" t="inlineStr">
        <is>
          <t>Factory overheads</t>
        </is>
      </c>
      <c r="AA8" s="198" t="inlineStr">
        <is>
          <t>Production Plan</t>
        </is>
      </c>
      <c r="AB8" s="198" t="inlineStr">
        <is>
          <t>Sales Plan</t>
        </is>
      </c>
    </row>
    <row r="9" ht="15" customHeight="1" s="82">
      <c r="B9" s="88" t="inlineStr">
        <is>
          <t>Promoters' Capital / Equity brought in</t>
        </is>
      </c>
      <c r="C9" s="121" t="n"/>
      <c r="D9" s="283" t="inlineStr">
        <is>
          <t>₹</t>
        </is>
      </c>
      <c r="H9" s="118" t="n"/>
      <c r="S9" s="81" t="inlineStr">
        <is>
          <t>Tourism &amp; Hospitality</t>
        </is>
      </c>
      <c r="T9" s="81" t="inlineStr">
        <is>
          <t>Room / Cover Capacity (room-nights or covers p.a.)</t>
        </is>
      </c>
      <c r="U9" s="81" t="inlineStr">
        <is>
          <t>Rooms sold / covers served (units)</t>
        </is>
      </c>
      <c r="V9" s="81" t="inlineStr">
        <is>
          <t>F&amp;B &amp; housekeeping cost per room-night (Year 1)</t>
        </is>
      </c>
      <c r="W9" s="81" t="inlineStr">
        <is>
          <t>F&amp;B &amp; housekeeping</t>
        </is>
      </c>
      <c r="X9" s="81" t="inlineStr">
        <is>
          <t>Power &amp; fuel cost per room-night (Year 1)</t>
        </is>
      </c>
      <c r="Y9" s="81" t="inlineStr">
        <is>
          <t>Power &amp; fuel</t>
        </is>
      </c>
      <c r="Z9" s="81" t="inlineStr">
        <is>
          <t>Property overheads</t>
        </is>
      </c>
      <c r="AA9" s="198" t="inlineStr">
        <is>
          <t>Operations Plan</t>
        </is>
      </c>
      <c r="AB9" s="198" t="inlineStr">
        <is>
          <t>Revenue Plan</t>
        </is>
      </c>
    </row>
    <row r="10" ht="15" customHeight="1" s="82">
      <c r="B10" s="88" t="inlineStr">
        <is>
          <t>Interest rate on Term Loan</t>
        </is>
      </c>
      <c r="C10" s="122" t="n"/>
      <c r="D10" s="283" t="inlineStr">
        <is>
          <t>% p.a.</t>
        </is>
      </c>
      <c r="H10" s="118" t="n"/>
      <c r="S10" s="81" t="inlineStr">
        <is>
          <t>Renewable Energy</t>
        </is>
      </c>
      <c r="T10" s="81" t="inlineStr">
        <is>
          <t>Installed Generation Capacity (units of energy p.a.)</t>
        </is>
      </c>
      <c r="U10" s="81" t="inlineStr">
        <is>
          <t>Energy generated (units)</t>
        </is>
      </c>
      <c r="V10" s="81" t="inlineStr">
        <is>
          <t>O&amp;M cost per unit generated (Year 1)</t>
        </is>
      </c>
      <c r="W10" s="81" t="inlineStr">
        <is>
          <t>O&amp;M cost</t>
        </is>
      </c>
      <c r="X10" s="81" t="inlineStr">
        <is>
          <t>Grid charges &amp; evacuation cost per unit (Year 1)</t>
        </is>
      </c>
      <c r="Y10" s="81" t="inlineStr">
        <is>
          <t>Grid charges</t>
        </is>
      </c>
      <c r="Z10" s="81" t="inlineStr">
        <is>
          <t>Plant overheads</t>
        </is>
      </c>
      <c r="AA10" s="198" t="inlineStr">
        <is>
          <t>Generation Plan</t>
        </is>
      </c>
      <c r="AB10" s="198" t="inlineStr">
        <is>
          <t>Revenue Plan</t>
        </is>
      </c>
    </row>
    <row r="11" ht="15" customHeight="1" s="82">
      <c r="B11" s="88" t="inlineStr">
        <is>
          <t>Term Loan tenure (in MONTHS, e.g. 60 for 5 years)</t>
        </is>
      </c>
      <c r="C11" s="123" t="n"/>
      <c r="D11" s="283" t="inlineStr">
        <is>
          <t>years</t>
        </is>
      </c>
      <c r="H11" s="118" t="n"/>
      <c r="S11" s="81" t="inlineStr">
        <is>
          <t>Healthcare &amp; Pharma</t>
        </is>
      </c>
      <c r="T11" s="81" t="inlineStr">
        <is>
          <t>Service / Production Capacity (patients or units p.a.)</t>
        </is>
      </c>
      <c r="U11" s="81" t="inlineStr">
        <is>
          <t>Patients served / units produced</t>
        </is>
      </c>
      <c r="V11" s="81" t="inlineStr">
        <is>
          <t>Medicines &amp; medical consumables per unit (Year 1)</t>
        </is>
      </c>
      <c r="W11" s="81" t="inlineStr">
        <is>
          <t>Medicines &amp; consumables</t>
        </is>
      </c>
      <c r="X11" s="81" t="inlineStr">
        <is>
          <t>Diagnostic equipment &amp; power cost per unit (Year 1)</t>
        </is>
      </c>
      <c r="Y11" s="81" t="inlineStr">
        <is>
          <t>Diagnostic equipment</t>
        </is>
      </c>
      <c r="Z11" s="81" t="inlineStr">
        <is>
          <t>Facility overheads</t>
        </is>
      </c>
      <c r="AA11" s="198" t="inlineStr">
        <is>
          <t>Service Delivery Plan</t>
        </is>
      </c>
      <c r="AB11" s="198" t="inlineStr">
        <is>
          <t>Revenue Plan</t>
        </is>
      </c>
    </row>
    <row r="12" ht="15" customHeight="1" s="82">
      <c r="B12" s="88" t="inlineStr">
        <is>
          <t>Moratorium / holiday period (in MONTHS)</t>
        </is>
      </c>
      <c r="C12" s="123" t="n"/>
      <c r="D12" s="283" t="inlineStr">
        <is>
          <t>months</t>
        </is>
      </c>
      <c r="H12" s="118" t="n"/>
      <c r="S12" s="81" t="inlineStr">
        <is>
          <t>Education &amp; Training</t>
        </is>
      </c>
      <c r="T12" s="81" t="inlineStr">
        <is>
          <t>Service Capacity (student seats / batches p.a.)</t>
        </is>
      </c>
      <c r="U12" s="81" t="inlineStr">
        <is>
          <t>Students / batches served</t>
        </is>
      </c>
      <c r="V12" s="81" t="inlineStr">
        <is>
          <t>Faculty &amp; courseware cost per student (Year 1)</t>
        </is>
      </c>
      <c r="W12" s="81" t="inlineStr">
        <is>
          <t>Faculty cost</t>
        </is>
      </c>
      <c r="X12" s="81" t="inlineStr">
        <is>
          <t>Campus infrastructure cost per student (Year 1)</t>
        </is>
      </c>
      <c r="Y12" s="81" t="inlineStr">
        <is>
          <t>Campus infrastructure</t>
        </is>
      </c>
      <c r="Z12" s="81" t="inlineStr">
        <is>
          <t>Institute overheads</t>
        </is>
      </c>
      <c r="AA12" s="198" t="inlineStr">
        <is>
          <t>Academic Operations Plan</t>
        </is>
      </c>
      <c r="AB12" s="198" t="inlineStr">
        <is>
          <t>Revenue Plan</t>
        </is>
      </c>
    </row>
    <row r="13" ht="15" customHeight="1" s="82">
      <c r="B13" s="88" t="inlineStr">
        <is>
          <t>Interest rate on Working Capital</t>
        </is>
      </c>
      <c r="C13" s="122" t="n"/>
      <c r="D13" s="283" t="inlineStr">
        <is>
          <t>% p.a.</t>
        </is>
      </c>
      <c r="H13" s="118" t="n"/>
      <c r="S13" s="81" t="inlineStr">
        <is>
          <t>General Business</t>
        </is>
      </c>
      <c r="T13" s="81" t="inlineStr">
        <is>
          <t>Capacity (units / customers / hours p.a.)</t>
        </is>
      </c>
      <c r="U13" s="81" t="inlineStr">
        <is>
          <t>Output (units)</t>
        </is>
      </c>
      <c r="V13" s="81" t="inlineStr">
        <is>
          <t>Direct cost per unit (Year 1)</t>
        </is>
      </c>
      <c r="W13" s="81" t="inlineStr">
        <is>
          <t>Direct cost</t>
        </is>
      </c>
      <c r="X13" s="81" t="inlineStr">
        <is>
          <t>Other direct cost per unit (Year 1)</t>
        </is>
      </c>
      <c r="Y13" s="81" t="inlineStr">
        <is>
          <t>Other direct cost</t>
        </is>
      </c>
      <c r="Z13" s="81" t="inlineStr">
        <is>
          <t>Operating overheads</t>
        </is>
      </c>
      <c r="AA13" s="198" t="inlineStr">
        <is>
          <t>Operations Plan</t>
        </is>
      </c>
      <c r="AB13" s="198" t="inlineStr">
        <is>
          <t>Revenue Plan</t>
        </is>
      </c>
    </row>
    <row r="14" ht="15" customHeight="1" s="82">
      <c r="B14" s="88" t="inlineStr">
        <is>
          <t>Income Tax rate</t>
        </is>
      </c>
      <c r="C14" s="122" t="n"/>
      <c r="D14" s="283" t="inlineStr">
        <is>
          <t>%</t>
        </is>
      </c>
      <c r="H14" s="118" t="n"/>
      <c r="S14" s="81" t="inlineStr">
        <is>
          <t>Construction &amp; Real Estate</t>
        </is>
      </c>
      <c r="T14" s="81" t="inlineStr">
        <is>
          <t>Project Execution Capacity (sq.ft / units p.a.)</t>
        </is>
      </c>
      <c r="U14" s="81" t="inlineStr">
        <is>
          <t>Construction / units completed</t>
        </is>
      </c>
      <c r="V14" s="81" t="inlineStr">
        <is>
          <t>Construction material cost per unit (Year 1)</t>
        </is>
      </c>
      <c r="W14" s="81" t="inlineStr">
        <is>
          <t>Construction materials</t>
        </is>
      </c>
      <c r="X14" s="81" t="inlineStr">
        <is>
          <t>Site machinery &amp; power cost per unit (Year 1)</t>
        </is>
      </c>
      <c r="Y14" s="81" t="inlineStr">
        <is>
          <t>Site machinery</t>
        </is>
      </c>
      <c r="Z14" s="81" t="inlineStr">
        <is>
          <t>Project overheads</t>
        </is>
      </c>
      <c r="AA14" s="198" t="inlineStr">
        <is>
          <t>Project Execution Plan</t>
        </is>
      </c>
      <c r="AB14" s="198" t="inlineStr">
        <is>
          <t>Revenue Plan</t>
        </is>
      </c>
    </row>
    <row r="15" ht="18" customHeight="1" s="82">
      <c r="B15" s="115" t="inlineStr">
        <is>
          <t>B.  SALES VOLUME</t>
        </is>
      </c>
      <c r="S15" s="81" t="inlineStr">
        <is>
          <t>Food &amp; Beverage / Restaurant</t>
        </is>
      </c>
      <c r="T15" s="81" t="inlineStr">
        <is>
          <t>Seating / Covers Capacity (covers p.a.)</t>
        </is>
      </c>
      <c r="U15" s="81" t="inlineStr">
        <is>
          <t>Covers served (units)</t>
        </is>
      </c>
      <c r="V15" s="81" t="inlineStr">
        <is>
          <t>Food &amp; beverage cost per cover (Year 1)</t>
        </is>
      </c>
      <c r="W15" s="81" t="inlineStr">
        <is>
          <t>Food cost</t>
        </is>
      </c>
      <c r="X15" s="81" t="inlineStr">
        <is>
          <t>Kitchen fuel &amp; gas cost per cover (Year 1)</t>
        </is>
      </c>
      <c r="Y15" s="81" t="inlineStr">
        <is>
          <t>Kitchen fuel</t>
        </is>
      </c>
      <c r="Z15" s="81" t="inlineStr">
        <is>
          <t>Restaurant overheads</t>
        </is>
      </c>
      <c r="AA15" s="198" t="inlineStr">
        <is>
          <t>Operations Plan</t>
        </is>
      </c>
      <c r="AB15" s="198" t="inlineStr">
        <is>
          <t>Revenue Plan</t>
        </is>
      </c>
    </row>
    <row r="16" ht="15" customHeight="1" s="82">
      <c r="B16" s="88" t="inlineStr">
        <is>
          <t>Trips / consignments (Year 1)</t>
        </is>
      </c>
      <c r="C16" s="121" t="n"/>
      <c r="D16" s="283" t="inlineStr">
        <is>
          <t>units p.a.</t>
        </is>
      </c>
      <c r="H16" s="118" t="n"/>
      <c r="S16" s="81" t="inlineStr">
        <is>
          <t>Transportation &amp; Logistics</t>
        </is>
      </c>
      <c r="T16" s="81" t="inlineStr">
        <is>
          <t>Fleet / Route Capacity (trips or tonnage p.a.)</t>
        </is>
      </c>
      <c r="U16" s="81" t="inlineStr">
        <is>
          <t>Trips / tonnage handled (units)</t>
        </is>
      </c>
      <c r="V16" s="81" t="inlineStr">
        <is>
          <t>Fuel &amp; running cost per trip (Year 1)</t>
        </is>
      </c>
      <c r="W16" s="81" t="inlineStr">
        <is>
          <t>Fuel</t>
        </is>
      </c>
      <c r="X16" s="81" t="inlineStr">
        <is>
          <t>Vehicle maintenance cost per trip (Year 1)</t>
        </is>
      </c>
      <c r="Y16" s="81" t="inlineStr">
        <is>
          <t>Vehicle maintenance</t>
        </is>
      </c>
      <c r="Z16" s="81" t="inlineStr">
        <is>
          <t>Fleet overheads</t>
        </is>
      </c>
      <c r="AA16" s="198" t="inlineStr">
        <is>
          <t>Fleet Operations Plan</t>
        </is>
      </c>
      <c r="AB16" s="198" t="inlineStr">
        <is>
          <t>Revenue Plan</t>
        </is>
      </c>
    </row>
    <row r="17" ht="15" customHeight="1" s="82">
      <c r="B17" s="88" t="inlineStr">
        <is>
          <t>Sales Growth</t>
        </is>
      </c>
      <c r="C17" s="124" t="inlineStr">
        <is>
          <t>Yr 1</t>
        </is>
      </c>
      <c r="D17" s="124" t="inlineStr">
        <is>
          <t>Yr 2</t>
        </is>
      </c>
      <c r="E17" s="124" t="inlineStr">
        <is>
          <t>Yr 3</t>
        </is>
      </c>
      <c r="F17" s="124" t="inlineStr">
        <is>
          <t>Yr 4</t>
        </is>
      </c>
      <c r="G17" s="124" t="inlineStr">
        <is>
          <t>Yr 5</t>
        </is>
      </c>
      <c r="S17" s="81" t="inlineStr">
        <is>
          <t>Textile &amp; Garments</t>
        </is>
      </c>
      <c r="T17" s="81" t="inlineStr">
        <is>
          <t>Installed Capacity (garments/fabric units p.a.)</t>
        </is>
      </c>
      <c r="U17" s="81" t="inlineStr">
        <is>
          <t>Production (units)</t>
        </is>
      </c>
      <c r="V17" s="81" t="inlineStr">
        <is>
          <t>Yarn &amp; fabric cost per unit (Year 1)</t>
        </is>
      </c>
      <c r="W17" s="81" t="inlineStr">
        <is>
          <t>Yarn &amp; fabric</t>
        </is>
      </c>
      <c r="X17" s="81" t="inlineStr">
        <is>
          <t>Power &amp; fuel cost per unit (Year 1)</t>
        </is>
      </c>
      <c r="Y17" s="81" t="inlineStr">
        <is>
          <t>Power &amp; fuel</t>
        </is>
      </c>
      <c r="Z17" s="81" t="inlineStr">
        <is>
          <t>Factory overheads</t>
        </is>
      </c>
      <c r="AA17" s="198" t="inlineStr">
        <is>
          <t>Production Plan</t>
        </is>
      </c>
      <c r="AB17" s="198" t="inlineStr">
        <is>
          <t>Sales Plan</t>
        </is>
      </c>
    </row>
    <row r="18" ht="15" customHeight="1" s="82">
      <c r="B18" s="88" t="inlineStr">
        <is>
          <t xml:space="preserve">   → growth index Year 1…5 (Year 1 = 1.00)</t>
        </is>
      </c>
      <c r="C18" s="125" t="n"/>
      <c r="D18" s="284" t="inlineStr">
        <is>
          <t>%</t>
        </is>
      </c>
      <c r="E18" s="125" t="n"/>
      <c r="F18" s="125" t="n"/>
      <c r="G18" s="125" t="n"/>
      <c r="H18" s="118" t="n"/>
      <c r="S18" s="81" t="inlineStr">
        <is>
          <t>Automobile / Auto Ancillary</t>
        </is>
      </c>
      <c r="T18" s="81" t="inlineStr">
        <is>
          <t>Installed Capacity (components/vehicles p.a.)</t>
        </is>
      </c>
      <c r="U18" s="81" t="inlineStr">
        <is>
          <t>Production (units)</t>
        </is>
      </c>
      <c r="V18" s="81" t="inlineStr">
        <is>
          <t>Component &amp; raw material cost per unit (Year 1)</t>
        </is>
      </c>
      <c r="W18" s="81" t="inlineStr">
        <is>
          <t>Components &amp; raw materials</t>
        </is>
      </c>
      <c r="X18" s="81" t="inlineStr">
        <is>
          <t>Power &amp; fuel cost per unit (Year 1)</t>
        </is>
      </c>
      <c r="Y18" s="81" t="inlineStr">
        <is>
          <t>Power &amp; fuel</t>
        </is>
      </c>
      <c r="Z18" s="81" t="inlineStr">
        <is>
          <t>Factory overheads</t>
        </is>
      </c>
      <c r="AA18" s="198" t="inlineStr">
        <is>
          <t>Production Plan</t>
        </is>
      </c>
      <c r="AB18" s="198" t="inlineStr">
        <is>
          <t>Sales Plan</t>
        </is>
      </c>
    </row>
    <row r="19" ht="18" customHeight="1" s="82">
      <c r="B19" s="115" t="inlineStr">
        <is>
          <t>C.  MONTHLY PHASING FACTOR  (optional — blank = equal spread)</t>
        </is>
      </c>
      <c r="S19" s="81" t="inlineStr">
        <is>
          <t>Import / Export Trading</t>
        </is>
      </c>
      <c r="T19" s="81" t="inlineStr">
        <is>
          <t>Annual Trading Capacity (units for import/export)</t>
        </is>
      </c>
      <c r="U19" s="81" t="inlineStr">
        <is>
          <t>Trading volume (units)</t>
        </is>
      </c>
      <c r="V19" s="81" t="inlineStr">
        <is>
          <t>Purchase / import cost per unit (Year 1)</t>
        </is>
      </c>
      <c r="W19" s="81" t="inlineStr">
        <is>
          <t>Purchase &amp; import cost</t>
        </is>
      </c>
      <c r="X19" s="81" t="inlineStr">
        <is>
          <t>Freight, customs &amp; logistics cost per unit (Year 1)</t>
        </is>
      </c>
      <c r="Y19" s="81" t="inlineStr">
        <is>
          <t>Freight &amp; customs</t>
        </is>
      </c>
      <c r="Z19" s="81" t="inlineStr">
        <is>
          <t>Trading overheads</t>
        </is>
      </c>
      <c r="AA19" s="198" t="inlineStr">
        <is>
          <t>Trading Plan</t>
        </is>
      </c>
      <c r="AB19" s="198" t="inlineStr">
        <is>
          <t>Revenue Plan</t>
        </is>
      </c>
    </row>
    <row r="20" ht="15" customHeight="1" s="82">
      <c r="B20" s="88" t="inlineStr">
        <is>
          <t>Relative weight per month (M1…M12)</t>
        </is>
      </c>
      <c r="C20" s="124" t="inlineStr">
        <is>
          <t>M1</t>
        </is>
      </c>
      <c r="D20" s="124" t="inlineStr">
        <is>
          <t>M2</t>
        </is>
      </c>
      <c r="E20" s="124" t="inlineStr">
        <is>
          <t>M3</t>
        </is>
      </c>
      <c r="F20" s="124" t="inlineStr">
        <is>
          <t>M4</t>
        </is>
      </c>
      <c r="G20" s="124" t="inlineStr">
        <is>
          <t>M5</t>
        </is>
      </c>
      <c r="H20" s="124" t="inlineStr">
        <is>
          <t>M6</t>
        </is>
      </c>
      <c r="I20" s="124" t="inlineStr">
        <is>
          <t>M7</t>
        </is>
      </c>
      <c r="J20" s="124" t="inlineStr">
        <is>
          <t>M8</t>
        </is>
      </c>
      <c r="K20" s="124" t="inlineStr">
        <is>
          <t>M9</t>
        </is>
      </c>
      <c r="L20" s="124" t="inlineStr">
        <is>
          <t>M10</t>
        </is>
      </c>
      <c r="M20" s="124" t="inlineStr">
        <is>
          <t>M11</t>
        </is>
      </c>
      <c r="N20" s="124" t="inlineStr">
        <is>
          <t>M12</t>
        </is>
      </c>
      <c r="S20" s="81" t="inlineStr">
        <is>
          <t>Media &amp; Entertainment</t>
        </is>
      </c>
      <c r="T20" s="81" t="inlineStr">
        <is>
          <t>Content / Production Capacity (units/hours p.a.)</t>
        </is>
      </c>
      <c r="U20" s="81" t="inlineStr">
        <is>
          <t>Content produced (units)</t>
        </is>
      </c>
      <c r="V20" s="81" t="inlineStr">
        <is>
          <t>Content production cost per unit (Year 1)</t>
        </is>
      </c>
      <c r="W20" s="81" t="inlineStr">
        <is>
          <t>Content production</t>
        </is>
      </c>
      <c r="X20" s="81" t="inlineStr">
        <is>
          <t>Equipment &amp; studio hire cost per unit (Year 1)</t>
        </is>
      </c>
      <c r="Y20" s="81" t="inlineStr">
        <is>
          <t>Equipment &amp; studio hire</t>
        </is>
      </c>
      <c r="Z20" s="81" t="inlineStr">
        <is>
          <t>Studio overheads</t>
        </is>
      </c>
      <c r="AA20" s="198" t="inlineStr">
        <is>
          <t>Operations Plan</t>
        </is>
      </c>
      <c r="AB20" s="198" t="inlineStr">
        <is>
          <t>Revenue Plan</t>
        </is>
      </c>
    </row>
    <row r="21" ht="15" customHeight="1" s="82">
      <c r="B21" s="88" t="inlineStr">
        <is>
          <t xml:space="preserve">   → weights (e.g. 1.0 each, or seasonal)</t>
        </is>
      </c>
      <c r="C21" s="126" t="n"/>
      <c r="D21" s="126" t="n"/>
      <c r="E21" s="126" t="n"/>
      <c r="F21" s="126" t="n"/>
      <c r="G21" s="126" t="n"/>
      <c r="H21" s="126" t="n"/>
      <c r="I21" s="126" t="n"/>
      <c r="J21" s="126" t="n"/>
      <c r="K21" s="126" t="n"/>
      <c r="L21" s="126" t="n"/>
      <c r="M21" s="126" t="n"/>
      <c r="N21" s="126" t="n"/>
      <c r="S21" s="81" t="inlineStr">
        <is>
          <t>Mining &amp; Minerals</t>
        </is>
      </c>
      <c r="T21" s="81" t="inlineStr">
        <is>
          <t>Installed Extraction Capacity (tonnes p.a.)</t>
        </is>
      </c>
      <c r="U21" s="81" t="inlineStr">
        <is>
          <t>Extraction (units)</t>
        </is>
      </c>
      <c r="V21" s="81" t="inlineStr">
        <is>
          <t>Extraction &amp; blasting cost per tonne (Year 1)</t>
        </is>
      </c>
      <c r="W21" s="81" t="inlineStr">
        <is>
          <t>Extraction &amp; blasting</t>
        </is>
      </c>
      <c r="X21" s="81" t="inlineStr">
        <is>
          <t>Power &amp; fuel cost per tonne (Year 1)</t>
        </is>
      </c>
      <c r="Y21" s="81" t="inlineStr">
        <is>
          <t>Power &amp; fuel</t>
        </is>
      </c>
      <c r="Z21" s="81" t="inlineStr">
        <is>
          <t>Mine overheads</t>
        </is>
      </c>
      <c r="AA21" s="198" t="inlineStr">
        <is>
          <t>Extraction Plan</t>
        </is>
      </c>
      <c r="AB21" s="198" t="inlineStr">
        <is>
          <t>Sales Plan</t>
        </is>
      </c>
    </row>
    <row r="22" ht="18" customHeight="1" s="82">
      <c r="B22" s="115" t="inlineStr">
        <is>
          <t>D.  PRICE &amp; MARGIN  (Year-1 base, escalated yearly)</t>
        </is>
      </c>
    </row>
    <row r="23" ht="15" customHeight="1" s="82">
      <c r="B23" s="88" t="inlineStr">
        <is>
          <t>Revenue per trip (Year 1)</t>
        </is>
      </c>
      <c r="C23" s="127" t="n"/>
      <c r="D23" s="283" t="inlineStr">
        <is>
          <t>₹/unit</t>
        </is>
      </c>
      <c r="H23" s="118" t="n"/>
    </row>
    <row r="24" ht="15" customHeight="1" s="82">
      <c r="B24" s="88" t="inlineStr">
        <is>
          <t xml:space="preserve">   annual price / value growth</t>
        </is>
      </c>
      <c r="C24" s="125" t="n"/>
      <c r="D24" s="283" t="inlineStr">
        <is>
          <t>%</t>
        </is>
      </c>
      <c r="H24" s="118" t="n"/>
    </row>
    <row r="25" ht="15" customHeight="1" s="82">
      <c r="B25" s="88" t="inlineStr">
        <is>
          <t>Gross margin on sales (%)  →  Operating cost of services = Sales × (1 − margin)</t>
        </is>
      </c>
      <c r="C25" s="125" t="n"/>
      <c r="D25" s="283" t="inlineStr">
        <is>
          <t>₹/unit</t>
        </is>
      </c>
      <c r="H25" s="118" t="n"/>
    </row>
    <row r="26" ht="15" customHeight="1" s="82">
      <c r="B26" s="88" t="inlineStr">
        <is>
          <t xml:space="preserve">   (cost of sales is margin-based, not per-unit)</t>
        </is>
      </c>
      <c r="C26" s="125" t="n"/>
      <c r="D26" s="283" t="inlineStr">
        <is>
          <t>%</t>
        </is>
      </c>
      <c r="H26" s="118" t="n"/>
    </row>
    <row r="27" ht="15" customHeight="1" s="82">
      <c r="B27" s="88" t="inlineStr">
        <is>
          <t xml:space="preserve">   (not used in this industry)</t>
        </is>
      </c>
      <c r="C27" s="127" t="n"/>
      <c r="D27" s="283" t="inlineStr">
        <is>
          <t>₹/unit</t>
        </is>
      </c>
      <c r="H27" s="118" t="n"/>
    </row>
    <row r="28" ht="15" customHeight="1" s="82">
      <c r="B28" s="88" t="inlineStr">
        <is>
          <t xml:space="preserve">   annual power cost escalation</t>
        </is>
      </c>
      <c r="C28" s="125" t="n"/>
      <c r="D28" s="283" t="inlineStr">
        <is>
          <t>%</t>
        </is>
      </c>
      <c r="H28" s="118" t="n"/>
    </row>
    <row r="29" ht="15" customHeight="1" s="82">
      <c r="B29" s="88" t="inlineStr">
        <is>
          <t>Other cost per unit of activity (packaging / fulfilment)</t>
        </is>
      </c>
      <c r="C29" s="127" t="n"/>
      <c r="D29" s="283" t="inlineStr">
        <is>
          <t>₹/unit</t>
        </is>
      </c>
      <c r="H29" s="118" t="n"/>
    </row>
    <row r="30" ht="15" customHeight="1" s="82">
      <c r="B30" s="88" t="inlineStr">
        <is>
          <t xml:space="preserve">   annual other-variable escalation</t>
        </is>
      </c>
      <c r="C30" s="125" t="n"/>
      <c r="D30" s="283" t="inlineStr">
        <is>
          <t>%</t>
        </is>
      </c>
      <c r="H30" s="118" t="n"/>
    </row>
    <row r="31" ht="18" customHeight="1" s="82">
      <c r="B31" s="115" t="inlineStr">
        <is>
          <t>E.  FIXED / PERIOD COSTS  (per month, Year-1 base, escalated below)</t>
        </is>
      </c>
    </row>
    <row r="32" ht="15" customHeight="1" s="82">
      <c r="B32" s="88" t="inlineStr">
        <is>
          <t>Direct wages &amp; salaries / month (Year 1)</t>
        </is>
      </c>
      <c r="C32" s="121" t="n"/>
      <c r="D32" s="283" t="inlineStr">
        <is>
          <t>₹/month</t>
        </is>
      </c>
      <c r="H32" s="118" t="n"/>
    </row>
    <row r="33" ht="15" customHeight="1" s="82">
      <c r="B33" s="88" t="inlineStr">
        <is>
          <t xml:space="preserve">   annual wages escalation</t>
        </is>
      </c>
      <c r="C33" s="125" t="n"/>
      <c r="D33" s="283" t="inlineStr">
        <is>
          <t>%</t>
        </is>
      </c>
      <c r="H33" s="118" t="n"/>
    </row>
    <row r="34" ht="15" customHeight="1" s="82">
      <c r="B34" s="88" t="inlineStr">
        <is>
          <t>Operating / facility overheads / month (Year 1)</t>
        </is>
      </c>
      <c r="C34" s="121" t="n"/>
      <c r="D34" s="283" t="inlineStr">
        <is>
          <t>₹/month</t>
        </is>
      </c>
      <c r="H34" s="118" t="n"/>
    </row>
    <row r="35" ht="15" customHeight="1" s="82">
      <c r="B35" s="88" t="inlineStr">
        <is>
          <t xml:space="preserve">   annual factory-OH escalation</t>
        </is>
      </c>
      <c r="C35" s="125" t="n"/>
      <c r="D35" s="283" t="inlineStr">
        <is>
          <t>%</t>
        </is>
      </c>
      <c r="H35" s="118" t="n"/>
    </row>
    <row r="36" ht="15" customHeight="1" s="82">
      <c r="B36" s="88" t="inlineStr">
        <is>
          <t>Repairs &amp; maintenance / month (Year 1)</t>
        </is>
      </c>
      <c r="C36" s="121" t="n"/>
      <c r="D36" s="283" t="inlineStr">
        <is>
          <t>₹/month</t>
        </is>
      </c>
      <c r="H36" s="118" t="n"/>
    </row>
    <row r="37" ht="15" customHeight="1" s="82">
      <c r="B37" s="88" t="inlineStr">
        <is>
          <t xml:space="preserve">   annual R&amp;M escalation</t>
        </is>
      </c>
      <c r="C37" s="125" t="n"/>
      <c r="D37" s="283" t="inlineStr">
        <is>
          <t>%</t>
        </is>
      </c>
      <c r="H37" s="118" t="n"/>
    </row>
    <row r="38" ht="15" customHeight="1" s="82">
      <c r="B38" s="88" t="inlineStr">
        <is>
          <t>Administrative expenses / month (Year 1)</t>
        </is>
      </c>
      <c r="C38" s="121" t="n"/>
      <c r="D38" s="283" t="inlineStr">
        <is>
          <t>₹/month</t>
        </is>
      </c>
      <c r="H38" s="118" t="n"/>
    </row>
    <row r="39" ht="15" customHeight="1" s="82">
      <c r="B39" s="88" t="inlineStr">
        <is>
          <t xml:space="preserve">   annual admin escalation</t>
        </is>
      </c>
      <c r="C39" s="125" t="n"/>
      <c r="D39" s="283" t="inlineStr">
        <is>
          <t>%</t>
        </is>
      </c>
      <c r="H39" s="118" t="n"/>
    </row>
    <row r="40" ht="15" customHeight="1" s="82">
      <c r="B40" s="88" t="inlineStr">
        <is>
          <t>Selling &amp; distribution</t>
        </is>
      </c>
      <c r="C40" s="125" t="n"/>
      <c r="D40" s="283" t="inlineStr">
        <is>
          <t>% of sales</t>
        </is>
      </c>
      <c r="H40" s="118" t="n"/>
    </row>
    <row r="41" ht="18" customHeight="1" s="82">
      <c r="B41" s="115" t="inlineStr">
        <is>
          <t>F.  FIXED ASSETS &amp; DEPRECIATION  (straight-line on cost)</t>
        </is>
      </c>
    </row>
    <row r="42" ht="15" customHeight="1" s="82">
      <c r="B42" s="88" t="inlineStr">
        <is>
          <t>Land (no depreciation)</t>
        </is>
      </c>
      <c r="C42" s="121" t="n"/>
      <c r="D42" s="283" t="inlineStr">
        <is>
          <t>₹</t>
        </is>
      </c>
      <c r="H42" s="118" t="n"/>
    </row>
    <row r="43" ht="15" customHeight="1" s="82">
      <c r="B43" s="88" t="inlineStr">
        <is>
          <t>Building — cost</t>
        </is>
      </c>
      <c r="C43" s="121" t="n"/>
      <c r="D43" s="283" t="inlineStr">
        <is>
          <t>₹</t>
        </is>
      </c>
      <c r="H43" s="118" t="n"/>
    </row>
    <row r="44" ht="15" customHeight="1" s="82">
      <c r="B44" s="88" t="inlineStr">
        <is>
          <t>Building — depreciation rate</t>
        </is>
      </c>
      <c r="C44" s="125" t="n"/>
      <c r="D44" s="283" t="inlineStr">
        <is>
          <t>%</t>
        </is>
      </c>
      <c r="H44" s="118" t="n"/>
    </row>
    <row r="45" ht="15" customHeight="1" s="82">
      <c r="B45" s="88" t="inlineStr">
        <is>
          <t>Plant &amp; Machinery — cost</t>
        </is>
      </c>
      <c r="C45" s="121" t="n"/>
      <c r="D45" s="283" t="inlineStr">
        <is>
          <t>₹</t>
        </is>
      </c>
      <c r="H45" s="118" t="n"/>
    </row>
    <row r="46" ht="15" customHeight="1" s="82">
      <c r="B46" s="88" t="inlineStr">
        <is>
          <t>Plant &amp; Machinery — depreciation rate</t>
        </is>
      </c>
      <c r="C46" s="125" t="n"/>
      <c r="D46" s="283" t="inlineStr">
        <is>
          <t>%</t>
        </is>
      </c>
      <c r="H46" s="118" t="n"/>
    </row>
    <row r="47" ht="15" customHeight="1" s="82">
      <c r="B47" s="88" t="inlineStr">
        <is>
          <t>Furniture / other — cost</t>
        </is>
      </c>
      <c r="C47" s="121" t="n"/>
      <c r="D47" s="283" t="inlineStr">
        <is>
          <t>₹</t>
        </is>
      </c>
      <c r="H47" s="118" t="n"/>
    </row>
    <row r="48" ht="15" customHeight="1" s="82">
      <c r="B48" s="88" t="inlineStr">
        <is>
          <t>Furniture / other — depreciation rate</t>
        </is>
      </c>
      <c r="C48" s="125" t="n"/>
      <c r="D48" s="283" t="inlineStr">
        <is>
          <t>%</t>
        </is>
      </c>
      <c r="H48" s="118" t="n"/>
    </row>
    <row r="49" ht="18" customHeight="1" s="82">
      <c r="B49" s="115" t="inlineStr">
        <is>
          <t>G.  WORKING CAPITAL CYCLE</t>
        </is>
      </c>
    </row>
    <row r="50" ht="15" customHeight="1" s="82">
      <c r="B50" s="88" t="inlineStr">
        <is>
          <t>Raw material holding</t>
        </is>
      </c>
      <c r="C50" s="123" t="n"/>
      <c r="D50" s="283" t="inlineStr">
        <is>
          <t>days</t>
        </is>
      </c>
      <c r="H50" s="118" t="n"/>
    </row>
    <row r="51" ht="15" customHeight="1" s="82">
      <c r="B51" s="88" t="inlineStr">
        <is>
          <t>Finished goods holding</t>
        </is>
      </c>
      <c r="C51" s="123" t="n"/>
      <c r="D51" s="283" t="inlineStr">
        <is>
          <t>days</t>
        </is>
      </c>
      <c r="H51" s="118" t="n"/>
    </row>
    <row r="52" ht="15" customHeight="1" s="82">
      <c r="B52" s="88" t="inlineStr">
        <is>
          <t>Receivables / debtors</t>
        </is>
      </c>
      <c r="C52" s="123" t="n"/>
      <c r="D52" s="283" t="inlineStr">
        <is>
          <t>days</t>
        </is>
      </c>
      <c r="H52" s="118" t="n"/>
    </row>
    <row r="53" ht="15" customHeight="1" s="82">
      <c r="B53" s="88" t="inlineStr">
        <is>
          <t>Creditors / payables</t>
        </is>
      </c>
      <c r="C53" s="123" t="n"/>
      <c r="D53" s="283" t="inlineStr">
        <is>
          <t>days</t>
        </is>
      </c>
      <c r="H53" s="118" t="n"/>
    </row>
    <row r="54" ht="15" customHeight="1" s="82">
      <c r="B54" s="88" t="inlineStr">
        <is>
          <t>Minimum cash &amp; bank balance</t>
        </is>
      </c>
      <c r="C54" s="121" t="n"/>
      <c r="D54" s="283" t="inlineStr">
        <is>
          <t>₹</t>
        </is>
      </c>
      <c r="H54" s="118" t="n"/>
    </row>
    <row r="55" ht="15" customHeight="1" s="82">
      <c r="B55" s="88" t="inlineStr">
        <is>
          <t>Bank's WC margin (borrower's stake)</t>
        </is>
      </c>
      <c r="C55" s="125" t="n"/>
      <c r="D55" s="283" t="inlineStr">
        <is>
          <t>%</t>
        </is>
      </c>
      <c r="H55" s="118" t="n"/>
      <c r="P55" s="128" t="inlineStr">
        <is>
          <t>Tandon Method-II uses 25%</t>
        </is>
      </c>
    </row>
    <row r="57">
      <c r="B57" s="186" t="inlineStr">
        <is>
          <t>H.  TARGET MARKET SEGMENTS  (who the revenue actually comes from)</t>
        </is>
      </c>
      <c r="C57" s="187" t="inlineStr">
        <is>
          <t>Segment name</t>
        </is>
      </c>
      <c r="D57" s="187" t="inlineStr">
        <is>
          <t>Share of revenue</t>
        </is>
      </c>
    </row>
    <row r="58">
      <c r="B58" s="188" t="inlineStr">
        <is>
          <t>Segment 1</t>
        </is>
      </c>
      <c r="C58" s="189" t="n"/>
      <c r="D58" s="190" t="n"/>
    </row>
    <row r="59">
      <c r="B59" s="188" t="inlineStr">
        <is>
          <t>Segment 2</t>
        </is>
      </c>
      <c r="C59" s="189" t="n"/>
      <c r="D59" s="190" t="n"/>
    </row>
    <row r="60">
      <c r="B60" s="188" t="inlineStr">
        <is>
          <t>Segment 3</t>
        </is>
      </c>
      <c r="C60" s="189" t="n"/>
      <c r="D60" s="190" t="n"/>
    </row>
    <row r="61">
      <c r="B61" s="188" t="inlineStr">
        <is>
          <t>Segment 4</t>
        </is>
      </c>
      <c r="C61" s="189" t="n"/>
      <c r="D61" s="190" t="n"/>
    </row>
    <row r="62">
      <c r="B62" s="188" t="inlineStr">
        <is>
          <t>Segment 5</t>
        </is>
      </c>
      <c r="C62" s="189" t="n"/>
      <c r="D62" s="190" t="n"/>
    </row>
    <row r="63">
      <c r="B63" s="191" t="inlineStr">
        <is>
          <t xml:space="preserve">   → shares must total 100%</t>
        </is>
      </c>
      <c r="D63" s="192">
        <f>SUM(D58:D62)</f>
        <v/>
      </c>
    </row>
    <row r="65">
      <c r="B65" s="258" t="inlineStr">
        <is>
          <t>I.  ADDITIONAL REVENUE STREAMS  (Year 1 — volume × price, escalated)</t>
        </is>
      </c>
      <c r="C65" s="259" t="inlineStr">
        <is>
          <t>Volume / units (Yr 1)</t>
        </is>
      </c>
      <c r="D65" s="259" t="inlineStr">
        <is>
          <t>Price (₹ / unit)</t>
        </is>
      </c>
    </row>
    <row r="66">
      <c r="B66" s="188" t="inlineStr">
        <is>
          <t>Warehousing / Storage</t>
        </is>
      </c>
      <c r="C66" s="257" t="n">
        <v>0</v>
      </c>
      <c r="D66" s="257" t="n">
        <v>0</v>
      </c>
    </row>
    <row r="67">
      <c r="B67" s="188" t="inlineStr">
        <is>
          <t>Value-added logistics</t>
        </is>
      </c>
      <c r="C67" s="257" t="n">
        <v>0</v>
      </c>
      <c r="D67" s="257" t="n">
        <v>0</v>
      </c>
    </row>
    <row r="68">
      <c r="B68" s="188" t="inlineStr">
        <is>
          <t>Express / Priority</t>
        </is>
      </c>
      <c r="C68" s="257" t="n">
        <v>0</v>
      </c>
      <c r="D68" s="257" t="n">
        <v>0</v>
      </c>
    </row>
    <row r="69">
      <c r="B69" s="188" t="inlineStr">
        <is>
          <t>Other revenue</t>
        </is>
      </c>
      <c r="C69" s="257" t="n">
        <v>0</v>
      </c>
      <c r="D69" s="257" t="n">
        <v>0</v>
      </c>
    </row>
    <row r="71">
      <c r="B71" s="259" t="inlineStr">
        <is>
          <t>J.  EXISTING LOAN  (leave blank if the borrower has none)</t>
        </is>
      </c>
    </row>
    <row r="72">
      <c r="B72" s="81" t="inlineStr">
        <is>
          <t>Treatment:  1 = Take-over by new loan,  2 = Additional (keeps running)</t>
        </is>
      </c>
      <c r="C72" s="189" t="n">
        <v>0</v>
      </c>
      <c r="D72" s="306" t="inlineStr">
        <is>
          <t>1 or 2</t>
        </is>
      </c>
    </row>
    <row r="73">
      <c r="B73" s="81" t="inlineStr">
        <is>
          <t>Existing loan — outstanding today</t>
        </is>
      </c>
      <c r="C73" s="189" t="n">
        <v>0</v>
      </c>
      <c r="D73" s="306" t="inlineStr">
        <is>
          <t>₹</t>
        </is>
      </c>
    </row>
    <row r="74">
      <c r="B74" s="81" t="inlineStr">
        <is>
          <t>Existing loan — interest rate</t>
        </is>
      </c>
      <c r="C74" s="189" t="n">
        <v>0</v>
      </c>
      <c r="D74" s="306" t="inlineStr">
        <is>
          <t>% p.a.</t>
        </is>
      </c>
    </row>
    <row r="75">
      <c r="B75" s="81" t="inlineStr">
        <is>
          <t>Existing loan — remaining tenure</t>
        </is>
      </c>
      <c r="C75" s="189" t="n">
        <v>0</v>
      </c>
      <c r="D75" s="306" t="inlineStr">
        <is>
          <t>months</t>
        </is>
      </c>
    </row>
  </sheetData>
  <mergeCells count="9">
    <mergeCell ref="B41:O41"/>
    <mergeCell ref="B49:O49"/>
    <mergeCell ref="B4:O4"/>
    <mergeCell ref="A2:O2"/>
    <mergeCell ref="B15:O15"/>
    <mergeCell ref="A1:O1"/>
    <mergeCell ref="B19:O19"/>
    <mergeCell ref="B31:O31"/>
    <mergeCell ref="B22:O22"/>
  </mergeCells>
  <dataValidations count="1">
    <dataValidation sqref="J5" showDropDown="0" showInputMessage="0" showErrorMessage="0" allowBlank="0" type="list">
      <formula1>=$S$5:$S$40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82" min="1" max="1"/>
    <col width="12" customWidth="1" style="82" min="2" max="2"/>
    <col width="12" customWidth="1" style="82" min="3" max="3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4" customWidth="1" style="82" min="14" max="14"/>
    <col width="12" customWidth="1" style="82" min="15" max="15"/>
    <col width="12" customWidth="1" style="82" min="16" max="16"/>
    <col width="12" customWidth="1" style="82" min="17" max="17"/>
    <col width="12" customWidth="1" style="82" min="18" max="18"/>
    <col width="12" customWidth="1" style="82" min="19" max="19"/>
    <col width="12" customWidth="1" style="82" min="20" max="20"/>
    <col width="12" customWidth="1" style="82" min="21" max="21"/>
    <col width="12" customWidth="1" style="82" min="22" max="22"/>
    <col width="12" customWidth="1" style="82" min="23" max="23"/>
    <col width="12" customWidth="1" style="82" min="24" max="24"/>
    <col width="12" customWidth="1" style="82" min="25" max="25"/>
    <col width="12" customWidth="1" style="82" min="26" max="26"/>
    <col width="14" customWidth="1" style="82" min="27" max="27"/>
    <col width="12" customWidth="1" style="82" min="28" max="28"/>
    <col width="12" customWidth="1" style="82" min="29" max="29"/>
    <col width="12" customWidth="1" style="82" min="30" max="30"/>
    <col width="12" customWidth="1" style="82" min="31" max="31"/>
    <col width="12" customWidth="1" style="82" min="32" max="32"/>
    <col width="12" customWidth="1" style="82" min="33" max="33"/>
    <col width="12" customWidth="1" style="82" min="34" max="34"/>
    <col width="12" customWidth="1" style="82" min="35" max="35"/>
    <col width="12" customWidth="1" style="82" min="36" max="36"/>
    <col width="12" customWidth="1" style="82" min="37" max="37"/>
    <col width="12" customWidth="1" style="82" min="38" max="38"/>
    <col width="12" customWidth="1" style="82" min="39" max="39"/>
    <col width="14" customWidth="1" style="82" min="40" max="40"/>
    <col width="12" customWidth="1" style="82" min="41" max="41"/>
    <col width="12" customWidth="1" style="82" min="42" max="42"/>
    <col width="12" customWidth="1" style="82" min="43" max="43"/>
    <col width="12" customWidth="1" style="82" min="44" max="44"/>
    <col width="12" customWidth="1" style="82" min="45" max="45"/>
    <col width="12" customWidth="1" style="82" min="46" max="46"/>
    <col width="12" customWidth="1" style="82" min="47" max="47"/>
    <col width="12" customWidth="1" style="82" min="48" max="48"/>
    <col width="12" customWidth="1" style="82" min="49" max="49"/>
    <col width="12" customWidth="1" style="82" min="50" max="50"/>
    <col width="12" customWidth="1" style="82" min="51" max="51"/>
    <col width="12" customWidth="1" style="82" min="52" max="52"/>
    <col width="14" customWidth="1" style="82" min="53" max="53"/>
    <col width="12" customWidth="1" style="82" min="54" max="54"/>
    <col width="12" customWidth="1" style="82" min="55" max="55"/>
    <col width="12" customWidth="1" style="82" min="56" max="56"/>
    <col width="12" customWidth="1" style="82" min="57" max="57"/>
    <col width="12" customWidth="1" style="82" min="58" max="58"/>
    <col width="12" customWidth="1" style="82" min="59" max="59"/>
    <col width="12" customWidth="1" style="82" min="60" max="60"/>
    <col width="12" customWidth="1" style="82" min="61" max="61"/>
    <col width="12" customWidth="1" style="82" min="62" max="62"/>
    <col width="12" customWidth="1" style="82" min="63" max="63"/>
    <col width="12" customWidth="1" style="82" min="64" max="64"/>
    <col width="12" customWidth="1" style="82" min="65" max="65"/>
    <col width="14" customWidth="1" style="82" min="66" max="66"/>
  </cols>
  <sheetData>
    <row r="1">
      <c r="A1" s="260" t="inlineStr">
        <is>
          <t>REVENUE BUILD-UP  —  Trips / consignments revenue plus every ancillary revenue stream</t>
        </is>
      </c>
    </row>
    <row r="2">
      <c r="A2" s="261" t="inlineStr">
        <is>
          <t>Volume × price for every revenue line, the total that feeds the P&amp;L and every downstream form, and the split across target-market segments.</t>
        </is>
      </c>
    </row>
    <row r="3">
      <c r="B3" s="262" t="inlineStr">
        <is>
          <t>YEAR 1</t>
        </is>
      </c>
      <c r="O3" s="262" t="inlineStr">
        <is>
          <t>YEAR 2</t>
        </is>
      </c>
      <c r="AB3" s="262" t="inlineStr">
        <is>
          <t>YEAR 3</t>
        </is>
      </c>
      <c r="AO3" s="262" t="inlineStr">
        <is>
          <t>YEAR 4</t>
        </is>
      </c>
      <c r="BB3" s="262" t="inlineStr">
        <is>
          <t>YEAR 5</t>
        </is>
      </c>
    </row>
    <row r="4">
      <c r="A4" s="264" t="inlineStr">
        <is>
          <t>Particulars</t>
        </is>
      </c>
      <c r="B4" s="265" t="inlineStr">
        <is>
          <t>M1</t>
        </is>
      </c>
      <c r="C4" s="265" t="inlineStr">
        <is>
          <t>M2</t>
        </is>
      </c>
      <c r="D4" s="265" t="inlineStr">
        <is>
          <t>M3</t>
        </is>
      </c>
      <c r="E4" s="265" t="inlineStr">
        <is>
          <t>M4</t>
        </is>
      </c>
      <c r="F4" s="265" t="inlineStr">
        <is>
          <t>M5</t>
        </is>
      </c>
      <c r="G4" s="265" t="inlineStr">
        <is>
          <t>M6</t>
        </is>
      </c>
      <c r="H4" s="265" t="inlineStr">
        <is>
          <t>M7</t>
        </is>
      </c>
      <c r="I4" s="265" t="inlineStr">
        <is>
          <t>M8</t>
        </is>
      </c>
      <c r="J4" s="265" t="inlineStr">
        <is>
          <t>M9</t>
        </is>
      </c>
      <c r="K4" s="265" t="inlineStr">
        <is>
          <t>M10</t>
        </is>
      </c>
      <c r="L4" s="265" t="inlineStr">
        <is>
          <t>M11</t>
        </is>
      </c>
      <c r="M4" s="265" t="inlineStr">
        <is>
          <t>M12</t>
        </is>
      </c>
      <c r="N4" s="265" t="inlineStr">
        <is>
          <t>Yr 1 Total</t>
        </is>
      </c>
      <c r="O4" s="265" t="inlineStr">
        <is>
          <t>M1</t>
        </is>
      </c>
      <c r="P4" s="265" t="inlineStr">
        <is>
          <t>M2</t>
        </is>
      </c>
      <c r="Q4" s="265" t="inlineStr">
        <is>
          <t>M3</t>
        </is>
      </c>
      <c r="R4" s="265" t="inlineStr">
        <is>
          <t>M4</t>
        </is>
      </c>
      <c r="S4" s="265" t="inlineStr">
        <is>
          <t>M5</t>
        </is>
      </c>
      <c r="T4" s="265" t="inlineStr">
        <is>
          <t>M6</t>
        </is>
      </c>
      <c r="U4" s="265" t="inlineStr">
        <is>
          <t>M7</t>
        </is>
      </c>
      <c r="V4" s="265" t="inlineStr">
        <is>
          <t>M8</t>
        </is>
      </c>
      <c r="W4" s="265" t="inlineStr">
        <is>
          <t>M9</t>
        </is>
      </c>
      <c r="X4" s="265" t="inlineStr">
        <is>
          <t>M10</t>
        </is>
      </c>
      <c r="Y4" s="265" t="inlineStr">
        <is>
          <t>M11</t>
        </is>
      </c>
      <c r="Z4" s="265" t="inlineStr">
        <is>
          <t>M12</t>
        </is>
      </c>
      <c r="AA4" s="265" t="inlineStr">
        <is>
          <t>Yr 2 Total</t>
        </is>
      </c>
      <c r="AB4" s="265" t="inlineStr">
        <is>
          <t>M1</t>
        </is>
      </c>
      <c r="AC4" s="265" t="inlineStr">
        <is>
          <t>M2</t>
        </is>
      </c>
      <c r="AD4" s="265" t="inlineStr">
        <is>
          <t>M3</t>
        </is>
      </c>
      <c r="AE4" s="265" t="inlineStr">
        <is>
          <t>M4</t>
        </is>
      </c>
      <c r="AF4" s="265" t="inlineStr">
        <is>
          <t>M5</t>
        </is>
      </c>
      <c r="AG4" s="265" t="inlineStr">
        <is>
          <t>M6</t>
        </is>
      </c>
      <c r="AH4" s="265" t="inlineStr">
        <is>
          <t>M7</t>
        </is>
      </c>
      <c r="AI4" s="265" t="inlineStr">
        <is>
          <t>M8</t>
        </is>
      </c>
      <c r="AJ4" s="265" t="inlineStr">
        <is>
          <t>M9</t>
        </is>
      </c>
      <c r="AK4" s="265" t="inlineStr">
        <is>
          <t>M10</t>
        </is>
      </c>
      <c r="AL4" s="265" t="inlineStr">
        <is>
          <t>M11</t>
        </is>
      </c>
      <c r="AM4" s="265" t="inlineStr">
        <is>
          <t>M12</t>
        </is>
      </c>
      <c r="AN4" s="265" t="inlineStr">
        <is>
          <t>Yr 3 Total</t>
        </is>
      </c>
      <c r="AO4" s="265" t="inlineStr">
        <is>
          <t>M1</t>
        </is>
      </c>
      <c r="AP4" s="265" t="inlineStr">
        <is>
          <t>M2</t>
        </is>
      </c>
      <c r="AQ4" s="265" t="inlineStr">
        <is>
          <t>M3</t>
        </is>
      </c>
      <c r="AR4" s="265" t="inlineStr">
        <is>
          <t>M4</t>
        </is>
      </c>
      <c r="AS4" s="265" t="inlineStr">
        <is>
          <t>M5</t>
        </is>
      </c>
      <c r="AT4" s="265" t="inlineStr">
        <is>
          <t>M6</t>
        </is>
      </c>
      <c r="AU4" s="265" t="inlineStr">
        <is>
          <t>M7</t>
        </is>
      </c>
      <c r="AV4" s="265" t="inlineStr">
        <is>
          <t>M8</t>
        </is>
      </c>
      <c r="AW4" s="265" t="inlineStr">
        <is>
          <t>M9</t>
        </is>
      </c>
      <c r="AX4" s="265" t="inlineStr">
        <is>
          <t>M10</t>
        </is>
      </c>
      <c r="AY4" s="265" t="inlineStr">
        <is>
          <t>M11</t>
        </is>
      </c>
      <c r="AZ4" s="265" t="inlineStr">
        <is>
          <t>M12</t>
        </is>
      </c>
      <c r="BA4" s="265" t="inlineStr">
        <is>
          <t>Yr 4 Total</t>
        </is>
      </c>
      <c r="BB4" s="265" t="inlineStr">
        <is>
          <t>M1</t>
        </is>
      </c>
      <c r="BC4" s="265" t="inlineStr">
        <is>
          <t>M2</t>
        </is>
      </c>
      <c r="BD4" s="265" t="inlineStr">
        <is>
          <t>M3</t>
        </is>
      </c>
      <c r="BE4" s="265" t="inlineStr">
        <is>
          <t>M4</t>
        </is>
      </c>
      <c r="BF4" s="265" t="inlineStr">
        <is>
          <t>M5</t>
        </is>
      </c>
      <c r="BG4" s="265" t="inlineStr">
        <is>
          <t>M6</t>
        </is>
      </c>
      <c r="BH4" s="265" t="inlineStr">
        <is>
          <t>M7</t>
        </is>
      </c>
      <c r="BI4" s="265" t="inlineStr">
        <is>
          <t>M8</t>
        </is>
      </c>
      <c r="BJ4" s="265" t="inlineStr">
        <is>
          <t>M9</t>
        </is>
      </c>
      <c r="BK4" s="265" t="inlineStr">
        <is>
          <t>M10</t>
        </is>
      </c>
      <c r="BL4" s="265" t="inlineStr">
        <is>
          <t>M11</t>
        </is>
      </c>
      <c r="BM4" s="265" t="inlineStr">
        <is>
          <t>M12</t>
        </is>
      </c>
      <c r="BN4" s="265" t="inlineStr">
        <is>
          <t>Yr 5 Total</t>
        </is>
      </c>
    </row>
    <row r="5">
      <c r="A5" s="266" t="inlineStr">
        <is>
          <t>Growth index (Yr 1 = 100%)</t>
        </is>
      </c>
      <c r="B5" s="267">
        <f>Assumptions!$C$18</f>
        <v/>
      </c>
      <c r="C5" s="267">
        <f>Assumptions!$C$18</f>
        <v/>
      </c>
      <c r="D5" s="267">
        <f>Assumptions!$C$18</f>
        <v/>
      </c>
      <c r="E5" s="267">
        <f>Assumptions!$C$18</f>
        <v/>
      </c>
      <c r="F5" s="267">
        <f>Assumptions!$C$18</f>
        <v/>
      </c>
      <c r="G5" s="267">
        <f>Assumptions!$C$18</f>
        <v/>
      </c>
      <c r="H5" s="267">
        <f>Assumptions!$C$18</f>
        <v/>
      </c>
      <c r="I5" s="267">
        <f>Assumptions!$C$18</f>
        <v/>
      </c>
      <c r="J5" s="267">
        <f>Assumptions!$C$18</f>
        <v/>
      </c>
      <c r="K5" s="267">
        <f>Assumptions!$C$18</f>
        <v/>
      </c>
      <c r="L5" s="267">
        <f>Assumptions!$C$18</f>
        <v/>
      </c>
      <c r="M5" s="267">
        <f>Assumptions!$C$18</f>
        <v/>
      </c>
      <c r="N5" s="267">
        <f>B5</f>
        <v/>
      </c>
      <c r="O5" s="267">
        <f>Assumptions!$D$18</f>
        <v/>
      </c>
      <c r="P5" s="267">
        <f>Assumptions!$D$18</f>
        <v/>
      </c>
      <c r="Q5" s="267">
        <f>Assumptions!$D$18</f>
        <v/>
      </c>
      <c r="R5" s="267">
        <f>Assumptions!$D$18</f>
        <v/>
      </c>
      <c r="S5" s="267">
        <f>Assumptions!$D$18</f>
        <v/>
      </c>
      <c r="T5" s="267">
        <f>Assumptions!$D$18</f>
        <v/>
      </c>
      <c r="U5" s="267">
        <f>Assumptions!$D$18</f>
        <v/>
      </c>
      <c r="V5" s="267">
        <f>Assumptions!$D$18</f>
        <v/>
      </c>
      <c r="W5" s="267">
        <f>Assumptions!$D$18</f>
        <v/>
      </c>
      <c r="X5" s="267">
        <f>Assumptions!$D$18</f>
        <v/>
      </c>
      <c r="Y5" s="267">
        <f>Assumptions!$D$18</f>
        <v/>
      </c>
      <c r="Z5" s="267">
        <f>Assumptions!$D$18</f>
        <v/>
      </c>
      <c r="AA5" s="267">
        <f>O5</f>
        <v/>
      </c>
      <c r="AB5" s="267">
        <f>Assumptions!$E$18</f>
        <v/>
      </c>
      <c r="AC5" s="267">
        <f>Assumptions!$E$18</f>
        <v/>
      </c>
      <c r="AD5" s="267">
        <f>Assumptions!$E$18</f>
        <v/>
      </c>
      <c r="AE5" s="267">
        <f>Assumptions!$E$18</f>
        <v/>
      </c>
      <c r="AF5" s="267">
        <f>Assumptions!$E$18</f>
        <v/>
      </c>
      <c r="AG5" s="267">
        <f>Assumptions!$E$18</f>
        <v/>
      </c>
      <c r="AH5" s="267">
        <f>Assumptions!$E$18</f>
        <v/>
      </c>
      <c r="AI5" s="267">
        <f>Assumptions!$E$18</f>
        <v/>
      </c>
      <c r="AJ5" s="267">
        <f>Assumptions!$E$18</f>
        <v/>
      </c>
      <c r="AK5" s="267">
        <f>Assumptions!$E$18</f>
        <v/>
      </c>
      <c r="AL5" s="267">
        <f>Assumptions!$E$18</f>
        <v/>
      </c>
      <c r="AM5" s="267">
        <f>Assumptions!$E$18</f>
        <v/>
      </c>
      <c r="AN5" s="267">
        <f>AB5</f>
        <v/>
      </c>
      <c r="AO5" s="267">
        <f>Assumptions!$F$18</f>
        <v/>
      </c>
      <c r="AP5" s="267">
        <f>Assumptions!$F$18</f>
        <v/>
      </c>
      <c r="AQ5" s="267">
        <f>Assumptions!$F$18</f>
        <v/>
      </c>
      <c r="AR5" s="267">
        <f>Assumptions!$F$18</f>
        <v/>
      </c>
      <c r="AS5" s="267">
        <f>Assumptions!$F$18</f>
        <v/>
      </c>
      <c r="AT5" s="267">
        <f>Assumptions!$F$18</f>
        <v/>
      </c>
      <c r="AU5" s="267">
        <f>Assumptions!$F$18</f>
        <v/>
      </c>
      <c r="AV5" s="267">
        <f>Assumptions!$F$18</f>
        <v/>
      </c>
      <c r="AW5" s="267">
        <f>Assumptions!$F$18</f>
        <v/>
      </c>
      <c r="AX5" s="267">
        <f>Assumptions!$F$18</f>
        <v/>
      </c>
      <c r="AY5" s="267">
        <f>Assumptions!$F$18</f>
        <v/>
      </c>
      <c r="AZ5" s="267">
        <f>Assumptions!$F$18</f>
        <v/>
      </c>
      <c r="BA5" s="267">
        <f>AO5</f>
        <v/>
      </c>
      <c r="BB5" s="267">
        <f>Assumptions!$G$18</f>
        <v/>
      </c>
      <c r="BC5" s="267">
        <f>Assumptions!$G$18</f>
        <v/>
      </c>
      <c r="BD5" s="267">
        <f>Assumptions!$G$18</f>
        <v/>
      </c>
      <c r="BE5" s="267">
        <f>Assumptions!$G$18</f>
        <v/>
      </c>
      <c r="BF5" s="267">
        <f>Assumptions!$G$18</f>
        <v/>
      </c>
      <c r="BG5" s="267">
        <f>Assumptions!$G$18</f>
        <v/>
      </c>
      <c r="BH5" s="267">
        <f>Assumptions!$G$18</f>
        <v/>
      </c>
      <c r="BI5" s="267">
        <f>Assumptions!$G$18</f>
        <v/>
      </c>
      <c r="BJ5" s="267">
        <f>Assumptions!$G$18</f>
        <v/>
      </c>
      <c r="BK5" s="267">
        <f>Assumptions!$G$18</f>
        <v/>
      </c>
      <c r="BL5" s="267">
        <f>Assumptions!$G$18</f>
        <v/>
      </c>
      <c r="BM5" s="267">
        <f>Assumptions!$G$18</f>
        <v/>
      </c>
      <c r="BN5" s="267">
        <f>BB5</f>
        <v/>
      </c>
    </row>
    <row r="6">
      <c r="A6" s="266" t="inlineStr">
        <is>
          <t>Trips / consignments (units)</t>
        </is>
      </c>
      <c r="B6" s="268">
        <f>(Assumptions!$C$16*Assumptions!$C$18/12)*IF(SUM(Assumptions!$C$21:$N$21)=0,1,12*Assumptions!C$21/SUM(Assumptions!$C$21:$N$21))</f>
        <v/>
      </c>
      <c r="C6" s="268">
        <f>(Assumptions!$C$16*Assumptions!$C$18/12)*IF(SUM(Assumptions!$C$21:$N$21)=0,1,12*Assumptions!D$21/SUM(Assumptions!$C$21:$N$21))</f>
        <v/>
      </c>
      <c r="D6" s="268">
        <f>(Assumptions!$C$16*Assumptions!$C$18/12)*IF(SUM(Assumptions!$C$21:$N$21)=0,1,12*Assumptions!E$21/SUM(Assumptions!$C$21:$N$21))</f>
        <v/>
      </c>
      <c r="E6" s="268">
        <f>(Assumptions!$C$16*Assumptions!$C$18/12)*IF(SUM(Assumptions!$C$21:$N$21)=0,1,12*Assumptions!F$21/SUM(Assumptions!$C$21:$N$21))</f>
        <v/>
      </c>
      <c r="F6" s="268">
        <f>(Assumptions!$C$16*Assumptions!$C$18/12)*IF(SUM(Assumptions!$C$21:$N$21)=0,1,12*Assumptions!G$21/SUM(Assumptions!$C$21:$N$21))</f>
        <v/>
      </c>
      <c r="G6" s="268">
        <f>(Assumptions!$C$16*Assumptions!$C$18/12)*IF(SUM(Assumptions!$C$21:$N$21)=0,1,12*Assumptions!H$21/SUM(Assumptions!$C$21:$N$21))</f>
        <v/>
      </c>
      <c r="H6" s="268">
        <f>(Assumptions!$C$16*Assumptions!$C$18/12)*IF(SUM(Assumptions!$C$21:$N$21)=0,1,12*Assumptions!I$21/SUM(Assumptions!$C$21:$N$21))</f>
        <v/>
      </c>
      <c r="I6" s="268">
        <f>(Assumptions!$C$16*Assumptions!$C$18/12)*IF(SUM(Assumptions!$C$21:$N$21)=0,1,12*Assumptions!J$21/SUM(Assumptions!$C$21:$N$21))</f>
        <v/>
      </c>
      <c r="J6" s="268">
        <f>(Assumptions!$C$16*Assumptions!$C$18/12)*IF(SUM(Assumptions!$C$21:$N$21)=0,1,12*Assumptions!K$21/SUM(Assumptions!$C$21:$N$21))</f>
        <v/>
      </c>
      <c r="K6" s="268">
        <f>(Assumptions!$C$16*Assumptions!$C$18/12)*IF(SUM(Assumptions!$C$21:$N$21)=0,1,12*Assumptions!L$21/SUM(Assumptions!$C$21:$N$21))</f>
        <v/>
      </c>
      <c r="L6" s="268">
        <f>(Assumptions!$C$16*Assumptions!$C$18/12)*IF(SUM(Assumptions!$C$21:$N$21)=0,1,12*Assumptions!M$21/SUM(Assumptions!$C$21:$N$21))</f>
        <v/>
      </c>
      <c r="M6" s="268">
        <f>(Assumptions!$C$16*Assumptions!$C$18/12)*IF(SUM(Assumptions!$C$21:$N$21)=0,1,12*Assumptions!N$21/SUM(Assumptions!$C$21:$N$21))</f>
        <v/>
      </c>
      <c r="N6" s="268">
        <f>SUM(B6:M6)</f>
        <v/>
      </c>
      <c r="O6" s="268">
        <f>(Assumptions!$C$16*Assumptions!$D$18/12)*IF(SUM(Assumptions!$C$21:$N$21)=0,1,12*Assumptions!C$21/SUM(Assumptions!$C$21:$N$21))</f>
        <v/>
      </c>
      <c r="P6" s="268">
        <f>(Assumptions!$C$16*Assumptions!$D$18/12)*IF(SUM(Assumptions!$C$21:$N$21)=0,1,12*Assumptions!D$21/SUM(Assumptions!$C$21:$N$21))</f>
        <v/>
      </c>
      <c r="Q6" s="268">
        <f>(Assumptions!$C$16*Assumptions!$D$18/12)*IF(SUM(Assumptions!$C$21:$N$21)=0,1,12*Assumptions!E$21/SUM(Assumptions!$C$21:$N$21))</f>
        <v/>
      </c>
      <c r="R6" s="268">
        <f>(Assumptions!$C$16*Assumptions!$D$18/12)*IF(SUM(Assumptions!$C$21:$N$21)=0,1,12*Assumptions!F$21/SUM(Assumptions!$C$21:$N$21))</f>
        <v/>
      </c>
      <c r="S6" s="268">
        <f>(Assumptions!$C$16*Assumptions!$D$18/12)*IF(SUM(Assumptions!$C$21:$N$21)=0,1,12*Assumptions!G$21/SUM(Assumptions!$C$21:$N$21))</f>
        <v/>
      </c>
      <c r="T6" s="268">
        <f>(Assumptions!$C$16*Assumptions!$D$18/12)*IF(SUM(Assumptions!$C$21:$N$21)=0,1,12*Assumptions!H$21/SUM(Assumptions!$C$21:$N$21))</f>
        <v/>
      </c>
      <c r="U6" s="268">
        <f>(Assumptions!$C$16*Assumptions!$D$18/12)*IF(SUM(Assumptions!$C$21:$N$21)=0,1,12*Assumptions!I$21/SUM(Assumptions!$C$21:$N$21))</f>
        <v/>
      </c>
      <c r="V6" s="268">
        <f>(Assumptions!$C$16*Assumptions!$D$18/12)*IF(SUM(Assumptions!$C$21:$N$21)=0,1,12*Assumptions!J$21/SUM(Assumptions!$C$21:$N$21))</f>
        <v/>
      </c>
      <c r="W6" s="268">
        <f>(Assumptions!$C$16*Assumptions!$D$18/12)*IF(SUM(Assumptions!$C$21:$N$21)=0,1,12*Assumptions!K$21/SUM(Assumptions!$C$21:$N$21))</f>
        <v/>
      </c>
      <c r="X6" s="268">
        <f>(Assumptions!$C$16*Assumptions!$D$18/12)*IF(SUM(Assumptions!$C$21:$N$21)=0,1,12*Assumptions!L$21/SUM(Assumptions!$C$21:$N$21))</f>
        <v/>
      </c>
      <c r="Y6" s="268">
        <f>(Assumptions!$C$16*Assumptions!$D$18/12)*IF(SUM(Assumptions!$C$21:$N$21)=0,1,12*Assumptions!M$21/SUM(Assumptions!$C$21:$N$21))</f>
        <v/>
      </c>
      <c r="Z6" s="268">
        <f>(Assumptions!$C$16*Assumptions!$D$18/12)*IF(SUM(Assumptions!$C$21:$N$21)=0,1,12*Assumptions!N$21/SUM(Assumptions!$C$21:$N$21))</f>
        <v/>
      </c>
      <c r="AA6" s="268">
        <f>SUM(O6:Z6)</f>
        <v/>
      </c>
      <c r="AB6" s="268">
        <f>(Assumptions!$C$16*Assumptions!$E$18/12)*IF(SUM(Assumptions!$C$21:$N$21)=0,1,12*Assumptions!C$21/SUM(Assumptions!$C$21:$N$21))</f>
        <v/>
      </c>
      <c r="AC6" s="268">
        <f>(Assumptions!$C$16*Assumptions!$E$18/12)*IF(SUM(Assumptions!$C$21:$N$21)=0,1,12*Assumptions!D$21/SUM(Assumptions!$C$21:$N$21))</f>
        <v/>
      </c>
      <c r="AD6" s="268">
        <f>(Assumptions!$C$16*Assumptions!$E$18/12)*IF(SUM(Assumptions!$C$21:$N$21)=0,1,12*Assumptions!E$21/SUM(Assumptions!$C$21:$N$21))</f>
        <v/>
      </c>
      <c r="AE6" s="268">
        <f>(Assumptions!$C$16*Assumptions!$E$18/12)*IF(SUM(Assumptions!$C$21:$N$21)=0,1,12*Assumptions!F$21/SUM(Assumptions!$C$21:$N$21))</f>
        <v/>
      </c>
      <c r="AF6" s="268">
        <f>(Assumptions!$C$16*Assumptions!$E$18/12)*IF(SUM(Assumptions!$C$21:$N$21)=0,1,12*Assumptions!G$21/SUM(Assumptions!$C$21:$N$21))</f>
        <v/>
      </c>
      <c r="AG6" s="268">
        <f>(Assumptions!$C$16*Assumptions!$E$18/12)*IF(SUM(Assumptions!$C$21:$N$21)=0,1,12*Assumptions!H$21/SUM(Assumptions!$C$21:$N$21))</f>
        <v/>
      </c>
      <c r="AH6" s="268">
        <f>(Assumptions!$C$16*Assumptions!$E$18/12)*IF(SUM(Assumptions!$C$21:$N$21)=0,1,12*Assumptions!I$21/SUM(Assumptions!$C$21:$N$21))</f>
        <v/>
      </c>
      <c r="AI6" s="268">
        <f>(Assumptions!$C$16*Assumptions!$E$18/12)*IF(SUM(Assumptions!$C$21:$N$21)=0,1,12*Assumptions!J$21/SUM(Assumptions!$C$21:$N$21))</f>
        <v/>
      </c>
      <c r="AJ6" s="268">
        <f>(Assumptions!$C$16*Assumptions!$E$18/12)*IF(SUM(Assumptions!$C$21:$N$21)=0,1,12*Assumptions!K$21/SUM(Assumptions!$C$21:$N$21))</f>
        <v/>
      </c>
      <c r="AK6" s="268">
        <f>(Assumptions!$C$16*Assumptions!$E$18/12)*IF(SUM(Assumptions!$C$21:$N$21)=0,1,12*Assumptions!L$21/SUM(Assumptions!$C$21:$N$21))</f>
        <v/>
      </c>
      <c r="AL6" s="268">
        <f>(Assumptions!$C$16*Assumptions!$E$18/12)*IF(SUM(Assumptions!$C$21:$N$21)=0,1,12*Assumptions!M$21/SUM(Assumptions!$C$21:$N$21))</f>
        <v/>
      </c>
      <c r="AM6" s="268">
        <f>(Assumptions!$C$16*Assumptions!$E$18/12)*IF(SUM(Assumptions!$C$21:$N$21)=0,1,12*Assumptions!N$21/SUM(Assumptions!$C$21:$N$21))</f>
        <v/>
      </c>
      <c r="AN6" s="268">
        <f>SUM(AB6:AM6)</f>
        <v/>
      </c>
      <c r="AO6" s="268">
        <f>(Assumptions!$C$16*Assumptions!$F$18/12)*IF(SUM(Assumptions!$C$21:$N$21)=0,1,12*Assumptions!C$21/SUM(Assumptions!$C$21:$N$21))</f>
        <v/>
      </c>
      <c r="AP6" s="268">
        <f>(Assumptions!$C$16*Assumptions!$F$18/12)*IF(SUM(Assumptions!$C$21:$N$21)=0,1,12*Assumptions!D$21/SUM(Assumptions!$C$21:$N$21))</f>
        <v/>
      </c>
      <c r="AQ6" s="268">
        <f>(Assumptions!$C$16*Assumptions!$F$18/12)*IF(SUM(Assumptions!$C$21:$N$21)=0,1,12*Assumptions!E$21/SUM(Assumptions!$C$21:$N$21))</f>
        <v/>
      </c>
      <c r="AR6" s="268">
        <f>(Assumptions!$C$16*Assumptions!$F$18/12)*IF(SUM(Assumptions!$C$21:$N$21)=0,1,12*Assumptions!F$21/SUM(Assumptions!$C$21:$N$21))</f>
        <v/>
      </c>
      <c r="AS6" s="268">
        <f>(Assumptions!$C$16*Assumptions!$F$18/12)*IF(SUM(Assumptions!$C$21:$N$21)=0,1,12*Assumptions!G$21/SUM(Assumptions!$C$21:$N$21))</f>
        <v/>
      </c>
      <c r="AT6" s="268">
        <f>(Assumptions!$C$16*Assumptions!$F$18/12)*IF(SUM(Assumptions!$C$21:$N$21)=0,1,12*Assumptions!H$21/SUM(Assumptions!$C$21:$N$21))</f>
        <v/>
      </c>
      <c r="AU6" s="268">
        <f>(Assumptions!$C$16*Assumptions!$F$18/12)*IF(SUM(Assumptions!$C$21:$N$21)=0,1,12*Assumptions!I$21/SUM(Assumptions!$C$21:$N$21))</f>
        <v/>
      </c>
      <c r="AV6" s="268">
        <f>(Assumptions!$C$16*Assumptions!$F$18/12)*IF(SUM(Assumptions!$C$21:$N$21)=0,1,12*Assumptions!J$21/SUM(Assumptions!$C$21:$N$21))</f>
        <v/>
      </c>
      <c r="AW6" s="268">
        <f>(Assumptions!$C$16*Assumptions!$F$18/12)*IF(SUM(Assumptions!$C$21:$N$21)=0,1,12*Assumptions!K$21/SUM(Assumptions!$C$21:$N$21))</f>
        <v/>
      </c>
      <c r="AX6" s="268">
        <f>(Assumptions!$C$16*Assumptions!$F$18/12)*IF(SUM(Assumptions!$C$21:$N$21)=0,1,12*Assumptions!L$21/SUM(Assumptions!$C$21:$N$21))</f>
        <v/>
      </c>
      <c r="AY6" s="268">
        <f>(Assumptions!$C$16*Assumptions!$F$18/12)*IF(SUM(Assumptions!$C$21:$N$21)=0,1,12*Assumptions!M$21/SUM(Assumptions!$C$21:$N$21))</f>
        <v/>
      </c>
      <c r="AZ6" s="268">
        <f>(Assumptions!$C$16*Assumptions!$F$18/12)*IF(SUM(Assumptions!$C$21:$N$21)=0,1,12*Assumptions!N$21/SUM(Assumptions!$C$21:$N$21))</f>
        <v/>
      </c>
      <c r="BA6" s="268">
        <f>SUM(AO6:AZ6)</f>
        <v/>
      </c>
      <c r="BB6" s="268">
        <f>(Assumptions!$C$16*Assumptions!$G$18/12)*IF(SUM(Assumptions!$C$21:$N$21)=0,1,12*Assumptions!C$21/SUM(Assumptions!$C$21:$N$21))</f>
        <v/>
      </c>
      <c r="BC6" s="268">
        <f>(Assumptions!$C$16*Assumptions!$G$18/12)*IF(SUM(Assumptions!$C$21:$N$21)=0,1,12*Assumptions!D$21/SUM(Assumptions!$C$21:$N$21))</f>
        <v/>
      </c>
      <c r="BD6" s="268">
        <f>(Assumptions!$C$16*Assumptions!$G$18/12)*IF(SUM(Assumptions!$C$21:$N$21)=0,1,12*Assumptions!E$21/SUM(Assumptions!$C$21:$N$21))</f>
        <v/>
      </c>
      <c r="BE6" s="268">
        <f>(Assumptions!$C$16*Assumptions!$G$18/12)*IF(SUM(Assumptions!$C$21:$N$21)=0,1,12*Assumptions!F$21/SUM(Assumptions!$C$21:$N$21))</f>
        <v/>
      </c>
      <c r="BF6" s="268">
        <f>(Assumptions!$C$16*Assumptions!$G$18/12)*IF(SUM(Assumptions!$C$21:$N$21)=0,1,12*Assumptions!G$21/SUM(Assumptions!$C$21:$N$21))</f>
        <v/>
      </c>
      <c r="BG6" s="268">
        <f>(Assumptions!$C$16*Assumptions!$G$18/12)*IF(SUM(Assumptions!$C$21:$N$21)=0,1,12*Assumptions!H$21/SUM(Assumptions!$C$21:$N$21))</f>
        <v/>
      </c>
      <c r="BH6" s="268">
        <f>(Assumptions!$C$16*Assumptions!$G$18/12)*IF(SUM(Assumptions!$C$21:$N$21)=0,1,12*Assumptions!I$21/SUM(Assumptions!$C$21:$N$21))</f>
        <v/>
      </c>
      <c r="BI6" s="268">
        <f>(Assumptions!$C$16*Assumptions!$G$18/12)*IF(SUM(Assumptions!$C$21:$N$21)=0,1,12*Assumptions!J$21/SUM(Assumptions!$C$21:$N$21))</f>
        <v/>
      </c>
      <c r="BJ6" s="268">
        <f>(Assumptions!$C$16*Assumptions!$G$18/12)*IF(SUM(Assumptions!$C$21:$N$21)=0,1,12*Assumptions!K$21/SUM(Assumptions!$C$21:$N$21))</f>
        <v/>
      </c>
      <c r="BK6" s="268">
        <f>(Assumptions!$C$16*Assumptions!$G$18/12)*IF(SUM(Assumptions!$C$21:$N$21)=0,1,12*Assumptions!L$21/SUM(Assumptions!$C$21:$N$21))</f>
        <v/>
      </c>
      <c r="BL6" s="268">
        <f>(Assumptions!$C$16*Assumptions!$G$18/12)*IF(SUM(Assumptions!$C$21:$N$21)=0,1,12*Assumptions!M$21/SUM(Assumptions!$C$21:$N$21))</f>
        <v/>
      </c>
      <c r="BM6" s="268">
        <f>(Assumptions!$C$16*Assumptions!$G$18/12)*IF(SUM(Assumptions!$C$21:$N$21)=0,1,12*Assumptions!N$21/SUM(Assumptions!$C$21:$N$21))</f>
        <v/>
      </c>
      <c r="BN6" s="268">
        <f>SUM(BB6:BM6)</f>
        <v/>
      </c>
    </row>
    <row r="7">
      <c r="A7" s="266" t="inlineStr">
        <is>
          <t>Revenue per trip (₹ / unit)</t>
        </is>
      </c>
      <c r="B7" s="269">
        <f>Assumptions!$C$23*(1+Assumptions!$C$24)^0</f>
        <v/>
      </c>
      <c r="C7" s="269">
        <f>Assumptions!$C$23*(1+Assumptions!$C$24)^0</f>
        <v/>
      </c>
      <c r="D7" s="269">
        <f>Assumptions!$C$23*(1+Assumptions!$C$24)^0</f>
        <v/>
      </c>
      <c r="E7" s="269">
        <f>Assumptions!$C$23*(1+Assumptions!$C$24)^0</f>
        <v/>
      </c>
      <c r="F7" s="269">
        <f>Assumptions!$C$23*(1+Assumptions!$C$24)^0</f>
        <v/>
      </c>
      <c r="G7" s="269">
        <f>Assumptions!$C$23*(1+Assumptions!$C$24)^0</f>
        <v/>
      </c>
      <c r="H7" s="269">
        <f>Assumptions!$C$23*(1+Assumptions!$C$24)^0</f>
        <v/>
      </c>
      <c r="I7" s="269">
        <f>Assumptions!$C$23*(1+Assumptions!$C$24)^0</f>
        <v/>
      </c>
      <c r="J7" s="269">
        <f>Assumptions!$C$23*(1+Assumptions!$C$24)^0</f>
        <v/>
      </c>
      <c r="K7" s="269">
        <f>Assumptions!$C$23*(1+Assumptions!$C$24)^0</f>
        <v/>
      </c>
      <c r="L7" s="269">
        <f>Assumptions!$C$23*(1+Assumptions!$C$24)^0</f>
        <v/>
      </c>
      <c r="M7" s="269">
        <f>Assumptions!$C$23*(1+Assumptions!$C$24)^0</f>
        <v/>
      </c>
      <c r="N7" s="269">
        <f>B7</f>
        <v/>
      </c>
      <c r="O7" s="269">
        <f>Assumptions!$C$23*(1+Assumptions!$C$24)^1</f>
        <v/>
      </c>
      <c r="P7" s="269">
        <f>Assumptions!$C$23*(1+Assumptions!$C$24)^1</f>
        <v/>
      </c>
      <c r="Q7" s="269">
        <f>Assumptions!$C$23*(1+Assumptions!$C$24)^1</f>
        <v/>
      </c>
      <c r="R7" s="269">
        <f>Assumptions!$C$23*(1+Assumptions!$C$24)^1</f>
        <v/>
      </c>
      <c r="S7" s="269">
        <f>Assumptions!$C$23*(1+Assumptions!$C$24)^1</f>
        <v/>
      </c>
      <c r="T7" s="269">
        <f>Assumptions!$C$23*(1+Assumptions!$C$24)^1</f>
        <v/>
      </c>
      <c r="U7" s="269">
        <f>Assumptions!$C$23*(1+Assumptions!$C$24)^1</f>
        <v/>
      </c>
      <c r="V7" s="269">
        <f>Assumptions!$C$23*(1+Assumptions!$C$24)^1</f>
        <v/>
      </c>
      <c r="W7" s="269">
        <f>Assumptions!$C$23*(1+Assumptions!$C$24)^1</f>
        <v/>
      </c>
      <c r="X7" s="269">
        <f>Assumptions!$C$23*(1+Assumptions!$C$24)^1</f>
        <v/>
      </c>
      <c r="Y7" s="269">
        <f>Assumptions!$C$23*(1+Assumptions!$C$24)^1</f>
        <v/>
      </c>
      <c r="Z7" s="269">
        <f>Assumptions!$C$23*(1+Assumptions!$C$24)^1</f>
        <v/>
      </c>
      <c r="AA7" s="269">
        <f>O7</f>
        <v/>
      </c>
      <c r="AB7" s="269">
        <f>Assumptions!$C$23*(1+Assumptions!$C$24)^2</f>
        <v/>
      </c>
      <c r="AC7" s="269">
        <f>Assumptions!$C$23*(1+Assumptions!$C$24)^2</f>
        <v/>
      </c>
      <c r="AD7" s="269">
        <f>Assumptions!$C$23*(1+Assumptions!$C$24)^2</f>
        <v/>
      </c>
      <c r="AE7" s="269">
        <f>Assumptions!$C$23*(1+Assumptions!$C$24)^2</f>
        <v/>
      </c>
      <c r="AF7" s="269">
        <f>Assumptions!$C$23*(1+Assumptions!$C$24)^2</f>
        <v/>
      </c>
      <c r="AG7" s="269">
        <f>Assumptions!$C$23*(1+Assumptions!$C$24)^2</f>
        <v/>
      </c>
      <c r="AH7" s="269">
        <f>Assumptions!$C$23*(1+Assumptions!$C$24)^2</f>
        <v/>
      </c>
      <c r="AI7" s="269">
        <f>Assumptions!$C$23*(1+Assumptions!$C$24)^2</f>
        <v/>
      </c>
      <c r="AJ7" s="269">
        <f>Assumptions!$C$23*(1+Assumptions!$C$24)^2</f>
        <v/>
      </c>
      <c r="AK7" s="269">
        <f>Assumptions!$C$23*(1+Assumptions!$C$24)^2</f>
        <v/>
      </c>
      <c r="AL7" s="269">
        <f>Assumptions!$C$23*(1+Assumptions!$C$24)^2</f>
        <v/>
      </c>
      <c r="AM7" s="269">
        <f>Assumptions!$C$23*(1+Assumptions!$C$24)^2</f>
        <v/>
      </c>
      <c r="AN7" s="269">
        <f>AB7</f>
        <v/>
      </c>
      <c r="AO7" s="269">
        <f>Assumptions!$C$23*(1+Assumptions!$C$24)^3</f>
        <v/>
      </c>
      <c r="AP7" s="269">
        <f>Assumptions!$C$23*(1+Assumptions!$C$24)^3</f>
        <v/>
      </c>
      <c r="AQ7" s="269">
        <f>Assumptions!$C$23*(1+Assumptions!$C$24)^3</f>
        <v/>
      </c>
      <c r="AR7" s="269">
        <f>Assumptions!$C$23*(1+Assumptions!$C$24)^3</f>
        <v/>
      </c>
      <c r="AS7" s="269">
        <f>Assumptions!$C$23*(1+Assumptions!$C$24)^3</f>
        <v/>
      </c>
      <c r="AT7" s="269">
        <f>Assumptions!$C$23*(1+Assumptions!$C$24)^3</f>
        <v/>
      </c>
      <c r="AU7" s="269">
        <f>Assumptions!$C$23*(1+Assumptions!$C$24)^3</f>
        <v/>
      </c>
      <c r="AV7" s="269">
        <f>Assumptions!$C$23*(1+Assumptions!$C$24)^3</f>
        <v/>
      </c>
      <c r="AW7" s="269">
        <f>Assumptions!$C$23*(1+Assumptions!$C$24)^3</f>
        <v/>
      </c>
      <c r="AX7" s="269">
        <f>Assumptions!$C$23*(1+Assumptions!$C$24)^3</f>
        <v/>
      </c>
      <c r="AY7" s="269">
        <f>Assumptions!$C$23*(1+Assumptions!$C$24)^3</f>
        <v/>
      </c>
      <c r="AZ7" s="269">
        <f>Assumptions!$C$23*(1+Assumptions!$C$24)^3</f>
        <v/>
      </c>
      <c r="BA7" s="269">
        <f>AO7</f>
        <v/>
      </c>
      <c r="BB7" s="269">
        <f>Assumptions!$C$23*(1+Assumptions!$C$24)^4</f>
        <v/>
      </c>
      <c r="BC7" s="269">
        <f>Assumptions!$C$23*(1+Assumptions!$C$24)^4</f>
        <v/>
      </c>
      <c r="BD7" s="269">
        <f>Assumptions!$C$23*(1+Assumptions!$C$24)^4</f>
        <v/>
      </c>
      <c r="BE7" s="269">
        <f>Assumptions!$C$23*(1+Assumptions!$C$24)^4</f>
        <v/>
      </c>
      <c r="BF7" s="269">
        <f>Assumptions!$C$23*(1+Assumptions!$C$24)^4</f>
        <v/>
      </c>
      <c r="BG7" s="269">
        <f>Assumptions!$C$23*(1+Assumptions!$C$24)^4</f>
        <v/>
      </c>
      <c r="BH7" s="269">
        <f>Assumptions!$C$23*(1+Assumptions!$C$24)^4</f>
        <v/>
      </c>
      <c r="BI7" s="269">
        <f>Assumptions!$C$23*(1+Assumptions!$C$24)^4</f>
        <v/>
      </c>
      <c r="BJ7" s="269">
        <f>Assumptions!$C$23*(1+Assumptions!$C$24)^4</f>
        <v/>
      </c>
      <c r="BK7" s="269">
        <f>Assumptions!$C$23*(1+Assumptions!$C$24)^4</f>
        <v/>
      </c>
      <c r="BL7" s="269">
        <f>Assumptions!$C$23*(1+Assumptions!$C$24)^4</f>
        <v/>
      </c>
      <c r="BM7" s="269">
        <f>Assumptions!$C$23*(1+Assumptions!$C$24)^4</f>
        <v/>
      </c>
      <c r="BN7" s="269">
        <f>BB7</f>
        <v/>
      </c>
    </row>
    <row r="8">
      <c r="A8" s="270" t="inlineStr">
        <is>
          <t>Trips / consignments revenue</t>
        </is>
      </c>
      <c r="B8" s="271">
        <f>B6*B7</f>
        <v/>
      </c>
      <c r="C8" s="271">
        <f>C6*C7</f>
        <v/>
      </c>
      <c r="D8" s="271">
        <f>D6*D7</f>
        <v/>
      </c>
      <c r="E8" s="271">
        <f>E6*E7</f>
        <v/>
      </c>
      <c r="F8" s="271">
        <f>F6*F7</f>
        <v/>
      </c>
      <c r="G8" s="271">
        <f>G6*G7</f>
        <v/>
      </c>
      <c r="H8" s="271">
        <f>H6*H7</f>
        <v/>
      </c>
      <c r="I8" s="271">
        <f>I6*I7</f>
        <v/>
      </c>
      <c r="J8" s="271">
        <f>J6*J7</f>
        <v/>
      </c>
      <c r="K8" s="271">
        <f>K6*K7</f>
        <v/>
      </c>
      <c r="L8" s="271">
        <f>L6*L7</f>
        <v/>
      </c>
      <c r="M8" s="271">
        <f>M6*M7</f>
        <v/>
      </c>
      <c r="N8" s="271">
        <f>SUM(B8:M8)</f>
        <v/>
      </c>
      <c r="O8" s="271">
        <f>O6*O7</f>
        <v/>
      </c>
      <c r="P8" s="271">
        <f>P6*P7</f>
        <v/>
      </c>
      <c r="Q8" s="271">
        <f>Q6*Q7</f>
        <v/>
      </c>
      <c r="R8" s="271">
        <f>R6*R7</f>
        <v/>
      </c>
      <c r="S8" s="271">
        <f>S6*S7</f>
        <v/>
      </c>
      <c r="T8" s="271">
        <f>T6*T7</f>
        <v/>
      </c>
      <c r="U8" s="271">
        <f>U6*U7</f>
        <v/>
      </c>
      <c r="V8" s="271">
        <f>V6*V7</f>
        <v/>
      </c>
      <c r="W8" s="271">
        <f>W6*W7</f>
        <v/>
      </c>
      <c r="X8" s="271">
        <f>X6*X7</f>
        <v/>
      </c>
      <c r="Y8" s="271">
        <f>Y6*Y7</f>
        <v/>
      </c>
      <c r="Z8" s="271">
        <f>Z6*Z7</f>
        <v/>
      </c>
      <c r="AA8" s="271">
        <f>SUM(O8:Z8)</f>
        <v/>
      </c>
      <c r="AB8" s="271">
        <f>AB6*AB7</f>
        <v/>
      </c>
      <c r="AC8" s="271">
        <f>AC6*AC7</f>
        <v/>
      </c>
      <c r="AD8" s="271">
        <f>AD6*AD7</f>
        <v/>
      </c>
      <c r="AE8" s="271">
        <f>AE6*AE7</f>
        <v/>
      </c>
      <c r="AF8" s="271">
        <f>AF6*AF7</f>
        <v/>
      </c>
      <c r="AG8" s="271">
        <f>AG6*AG7</f>
        <v/>
      </c>
      <c r="AH8" s="271">
        <f>AH6*AH7</f>
        <v/>
      </c>
      <c r="AI8" s="271">
        <f>AI6*AI7</f>
        <v/>
      </c>
      <c r="AJ8" s="271">
        <f>AJ6*AJ7</f>
        <v/>
      </c>
      <c r="AK8" s="271">
        <f>AK6*AK7</f>
        <v/>
      </c>
      <c r="AL8" s="271">
        <f>AL6*AL7</f>
        <v/>
      </c>
      <c r="AM8" s="271">
        <f>AM6*AM7</f>
        <v/>
      </c>
      <c r="AN8" s="271">
        <f>SUM(AB8:AM8)</f>
        <v/>
      </c>
      <c r="AO8" s="271">
        <f>AO6*AO7</f>
        <v/>
      </c>
      <c r="AP8" s="271">
        <f>AP6*AP7</f>
        <v/>
      </c>
      <c r="AQ8" s="271">
        <f>AQ6*AQ7</f>
        <v/>
      </c>
      <c r="AR8" s="271">
        <f>AR6*AR7</f>
        <v/>
      </c>
      <c r="AS8" s="271">
        <f>AS6*AS7</f>
        <v/>
      </c>
      <c r="AT8" s="271">
        <f>AT6*AT7</f>
        <v/>
      </c>
      <c r="AU8" s="271">
        <f>AU6*AU7</f>
        <v/>
      </c>
      <c r="AV8" s="271">
        <f>AV6*AV7</f>
        <v/>
      </c>
      <c r="AW8" s="271">
        <f>AW6*AW7</f>
        <v/>
      </c>
      <c r="AX8" s="271">
        <f>AX6*AX7</f>
        <v/>
      </c>
      <c r="AY8" s="271">
        <f>AY6*AY7</f>
        <v/>
      </c>
      <c r="AZ8" s="271">
        <f>AZ6*AZ7</f>
        <v/>
      </c>
      <c r="BA8" s="271">
        <f>SUM(AO8:AZ8)</f>
        <v/>
      </c>
      <c r="BB8" s="271">
        <f>BB6*BB7</f>
        <v/>
      </c>
      <c r="BC8" s="271">
        <f>BC6*BC7</f>
        <v/>
      </c>
      <c r="BD8" s="271">
        <f>BD6*BD7</f>
        <v/>
      </c>
      <c r="BE8" s="271">
        <f>BE6*BE7</f>
        <v/>
      </c>
      <c r="BF8" s="271">
        <f>BF6*BF7</f>
        <v/>
      </c>
      <c r="BG8" s="271">
        <f>BG6*BG7</f>
        <v/>
      </c>
      <c r="BH8" s="271">
        <f>BH6*BH7</f>
        <v/>
      </c>
      <c r="BI8" s="271">
        <f>BI6*BI7</f>
        <v/>
      </c>
      <c r="BJ8" s="271">
        <f>BJ6*BJ7</f>
        <v/>
      </c>
      <c r="BK8" s="271">
        <f>BK6*BK7</f>
        <v/>
      </c>
      <c r="BL8" s="271">
        <f>BL6*BL7</f>
        <v/>
      </c>
      <c r="BM8" s="271">
        <f>BM6*BM7</f>
        <v/>
      </c>
      <c r="BN8" s="271">
        <f>SUM(BB8:BM8)</f>
        <v/>
      </c>
    </row>
    <row r="10">
      <c r="A10" s="266" t="inlineStr">
        <is>
          <t>Warehousing / Storage — units</t>
        </is>
      </c>
      <c r="B10" s="268">
        <f>Assumptions!$C$66*Assumptions!$C$18/12</f>
        <v/>
      </c>
      <c r="C10" s="268">
        <f>Assumptions!$C$66*Assumptions!$C$18/12</f>
        <v/>
      </c>
      <c r="D10" s="268">
        <f>Assumptions!$C$66*Assumptions!$C$18/12</f>
        <v/>
      </c>
      <c r="E10" s="268">
        <f>Assumptions!$C$66*Assumptions!$C$18/12</f>
        <v/>
      </c>
      <c r="F10" s="268">
        <f>Assumptions!$C$66*Assumptions!$C$18/12</f>
        <v/>
      </c>
      <c r="G10" s="268">
        <f>Assumptions!$C$66*Assumptions!$C$18/12</f>
        <v/>
      </c>
      <c r="H10" s="268">
        <f>Assumptions!$C$66*Assumptions!$C$18/12</f>
        <v/>
      </c>
      <c r="I10" s="268">
        <f>Assumptions!$C$66*Assumptions!$C$18/12</f>
        <v/>
      </c>
      <c r="J10" s="268">
        <f>Assumptions!$C$66*Assumptions!$C$18/12</f>
        <v/>
      </c>
      <c r="K10" s="268">
        <f>Assumptions!$C$66*Assumptions!$C$18/12</f>
        <v/>
      </c>
      <c r="L10" s="268">
        <f>Assumptions!$C$66*Assumptions!$C$18/12</f>
        <v/>
      </c>
      <c r="M10" s="268">
        <f>Assumptions!$C$66*Assumptions!$C$18/12</f>
        <v/>
      </c>
      <c r="N10" s="268">
        <f>SUM(B10:M10)</f>
        <v/>
      </c>
      <c r="O10" s="268">
        <f>Assumptions!$C$66*Assumptions!$D$18/12</f>
        <v/>
      </c>
      <c r="P10" s="268">
        <f>Assumptions!$C$66*Assumptions!$D$18/12</f>
        <v/>
      </c>
      <c r="Q10" s="268">
        <f>Assumptions!$C$66*Assumptions!$D$18/12</f>
        <v/>
      </c>
      <c r="R10" s="268">
        <f>Assumptions!$C$66*Assumptions!$D$18/12</f>
        <v/>
      </c>
      <c r="S10" s="268">
        <f>Assumptions!$C$66*Assumptions!$D$18/12</f>
        <v/>
      </c>
      <c r="T10" s="268">
        <f>Assumptions!$C$66*Assumptions!$D$18/12</f>
        <v/>
      </c>
      <c r="U10" s="268">
        <f>Assumptions!$C$66*Assumptions!$D$18/12</f>
        <v/>
      </c>
      <c r="V10" s="268">
        <f>Assumptions!$C$66*Assumptions!$D$18/12</f>
        <v/>
      </c>
      <c r="W10" s="268">
        <f>Assumptions!$C$66*Assumptions!$D$18/12</f>
        <v/>
      </c>
      <c r="X10" s="268">
        <f>Assumptions!$C$66*Assumptions!$D$18/12</f>
        <v/>
      </c>
      <c r="Y10" s="268">
        <f>Assumptions!$C$66*Assumptions!$D$18/12</f>
        <v/>
      </c>
      <c r="Z10" s="268">
        <f>Assumptions!$C$66*Assumptions!$D$18/12</f>
        <v/>
      </c>
      <c r="AA10" s="268">
        <f>SUM(O10:Z10)</f>
        <v/>
      </c>
      <c r="AB10" s="268">
        <f>Assumptions!$C$66*Assumptions!$E$18/12</f>
        <v/>
      </c>
      <c r="AC10" s="268">
        <f>Assumptions!$C$66*Assumptions!$E$18/12</f>
        <v/>
      </c>
      <c r="AD10" s="268">
        <f>Assumptions!$C$66*Assumptions!$E$18/12</f>
        <v/>
      </c>
      <c r="AE10" s="268">
        <f>Assumptions!$C$66*Assumptions!$E$18/12</f>
        <v/>
      </c>
      <c r="AF10" s="268">
        <f>Assumptions!$C$66*Assumptions!$E$18/12</f>
        <v/>
      </c>
      <c r="AG10" s="268">
        <f>Assumptions!$C$66*Assumptions!$E$18/12</f>
        <v/>
      </c>
      <c r="AH10" s="268">
        <f>Assumptions!$C$66*Assumptions!$E$18/12</f>
        <v/>
      </c>
      <c r="AI10" s="268">
        <f>Assumptions!$C$66*Assumptions!$E$18/12</f>
        <v/>
      </c>
      <c r="AJ10" s="268">
        <f>Assumptions!$C$66*Assumptions!$E$18/12</f>
        <v/>
      </c>
      <c r="AK10" s="268">
        <f>Assumptions!$C$66*Assumptions!$E$18/12</f>
        <v/>
      </c>
      <c r="AL10" s="268">
        <f>Assumptions!$C$66*Assumptions!$E$18/12</f>
        <v/>
      </c>
      <c r="AM10" s="268">
        <f>Assumptions!$C$66*Assumptions!$E$18/12</f>
        <v/>
      </c>
      <c r="AN10" s="268">
        <f>SUM(AB10:AM10)</f>
        <v/>
      </c>
      <c r="AO10" s="268">
        <f>Assumptions!$C$66*Assumptions!$F$18/12</f>
        <v/>
      </c>
      <c r="AP10" s="268">
        <f>Assumptions!$C$66*Assumptions!$F$18/12</f>
        <v/>
      </c>
      <c r="AQ10" s="268">
        <f>Assumptions!$C$66*Assumptions!$F$18/12</f>
        <v/>
      </c>
      <c r="AR10" s="268">
        <f>Assumptions!$C$66*Assumptions!$F$18/12</f>
        <v/>
      </c>
      <c r="AS10" s="268">
        <f>Assumptions!$C$66*Assumptions!$F$18/12</f>
        <v/>
      </c>
      <c r="AT10" s="268">
        <f>Assumptions!$C$66*Assumptions!$F$18/12</f>
        <v/>
      </c>
      <c r="AU10" s="268">
        <f>Assumptions!$C$66*Assumptions!$F$18/12</f>
        <v/>
      </c>
      <c r="AV10" s="268">
        <f>Assumptions!$C$66*Assumptions!$F$18/12</f>
        <v/>
      </c>
      <c r="AW10" s="268">
        <f>Assumptions!$C$66*Assumptions!$F$18/12</f>
        <v/>
      </c>
      <c r="AX10" s="268">
        <f>Assumptions!$C$66*Assumptions!$F$18/12</f>
        <v/>
      </c>
      <c r="AY10" s="268">
        <f>Assumptions!$C$66*Assumptions!$F$18/12</f>
        <v/>
      </c>
      <c r="AZ10" s="268">
        <f>Assumptions!$C$66*Assumptions!$F$18/12</f>
        <v/>
      </c>
      <c r="BA10" s="268">
        <f>SUM(AO10:AZ10)</f>
        <v/>
      </c>
      <c r="BB10" s="268">
        <f>Assumptions!$C$66*Assumptions!$G$18/12</f>
        <v/>
      </c>
      <c r="BC10" s="268">
        <f>Assumptions!$C$66*Assumptions!$G$18/12</f>
        <v/>
      </c>
      <c r="BD10" s="268">
        <f>Assumptions!$C$66*Assumptions!$G$18/12</f>
        <v/>
      </c>
      <c r="BE10" s="268">
        <f>Assumptions!$C$66*Assumptions!$G$18/12</f>
        <v/>
      </c>
      <c r="BF10" s="268">
        <f>Assumptions!$C$66*Assumptions!$G$18/12</f>
        <v/>
      </c>
      <c r="BG10" s="268">
        <f>Assumptions!$C$66*Assumptions!$G$18/12</f>
        <v/>
      </c>
      <c r="BH10" s="268">
        <f>Assumptions!$C$66*Assumptions!$G$18/12</f>
        <v/>
      </c>
      <c r="BI10" s="268">
        <f>Assumptions!$C$66*Assumptions!$G$18/12</f>
        <v/>
      </c>
      <c r="BJ10" s="268">
        <f>Assumptions!$C$66*Assumptions!$G$18/12</f>
        <v/>
      </c>
      <c r="BK10" s="268">
        <f>Assumptions!$C$66*Assumptions!$G$18/12</f>
        <v/>
      </c>
      <c r="BL10" s="268">
        <f>Assumptions!$C$66*Assumptions!$G$18/12</f>
        <v/>
      </c>
      <c r="BM10" s="268">
        <f>Assumptions!$C$66*Assumptions!$G$18/12</f>
        <v/>
      </c>
      <c r="BN10" s="268">
        <f>SUM(BB10:BM10)</f>
        <v/>
      </c>
    </row>
    <row r="11">
      <c r="A11" s="266" t="inlineStr">
        <is>
          <t>Warehousing / Storage — ₹ / unit</t>
        </is>
      </c>
      <c r="B11" s="269">
        <f>Assumptions!$D$66*(1+Assumptions!$C$24)^0</f>
        <v/>
      </c>
      <c r="C11" s="269">
        <f>Assumptions!$D$66*(1+Assumptions!$C$24)^0</f>
        <v/>
      </c>
      <c r="D11" s="269">
        <f>Assumptions!$D$66*(1+Assumptions!$C$24)^0</f>
        <v/>
      </c>
      <c r="E11" s="269">
        <f>Assumptions!$D$66*(1+Assumptions!$C$24)^0</f>
        <v/>
      </c>
      <c r="F11" s="269">
        <f>Assumptions!$D$66*(1+Assumptions!$C$24)^0</f>
        <v/>
      </c>
      <c r="G11" s="269">
        <f>Assumptions!$D$66*(1+Assumptions!$C$24)^0</f>
        <v/>
      </c>
      <c r="H11" s="269">
        <f>Assumptions!$D$66*(1+Assumptions!$C$24)^0</f>
        <v/>
      </c>
      <c r="I11" s="269">
        <f>Assumptions!$D$66*(1+Assumptions!$C$24)^0</f>
        <v/>
      </c>
      <c r="J11" s="269">
        <f>Assumptions!$D$66*(1+Assumptions!$C$24)^0</f>
        <v/>
      </c>
      <c r="K11" s="269">
        <f>Assumptions!$D$66*(1+Assumptions!$C$24)^0</f>
        <v/>
      </c>
      <c r="L11" s="269">
        <f>Assumptions!$D$66*(1+Assumptions!$C$24)^0</f>
        <v/>
      </c>
      <c r="M11" s="269">
        <f>Assumptions!$D$66*(1+Assumptions!$C$24)^0</f>
        <v/>
      </c>
      <c r="N11" s="269">
        <f>B11</f>
        <v/>
      </c>
      <c r="O11" s="269">
        <f>Assumptions!$D$66*(1+Assumptions!$C$24)^1</f>
        <v/>
      </c>
      <c r="P11" s="269">
        <f>Assumptions!$D$66*(1+Assumptions!$C$24)^1</f>
        <v/>
      </c>
      <c r="Q11" s="269">
        <f>Assumptions!$D$66*(1+Assumptions!$C$24)^1</f>
        <v/>
      </c>
      <c r="R11" s="269">
        <f>Assumptions!$D$66*(1+Assumptions!$C$24)^1</f>
        <v/>
      </c>
      <c r="S11" s="269">
        <f>Assumptions!$D$66*(1+Assumptions!$C$24)^1</f>
        <v/>
      </c>
      <c r="T11" s="269">
        <f>Assumptions!$D$66*(1+Assumptions!$C$24)^1</f>
        <v/>
      </c>
      <c r="U11" s="269">
        <f>Assumptions!$D$66*(1+Assumptions!$C$24)^1</f>
        <v/>
      </c>
      <c r="V11" s="269">
        <f>Assumptions!$D$66*(1+Assumptions!$C$24)^1</f>
        <v/>
      </c>
      <c r="W11" s="269">
        <f>Assumptions!$D$66*(1+Assumptions!$C$24)^1</f>
        <v/>
      </c>
      <c r="X11" s="269">
        <f>Assumptions!$D$66*(1+Assumptions!$C$24)^1</f>
        <v/>
      </c>
      <c r="Y11" s="269">
        <f>Assumptions!$D$66*(1+Assumptions!$C$24)^1</f>
        <v/>
      </c>
      <c r="Z11" s="269">
        <f>Assumptions!$D$66*(1+Assumptions!$C$24)^1</f>
        <v/>
      </c>
      <c r="AA11" s="269">
        <f>O11</f>
        <v/>
      </c>
      <c r="AB11" s="269">
        <f>Assumptions!$D$66*(1+Assumptions!$C$24)^2</f>
        <v/>
      </c>
      <c r="AC11" s="269">
        <f>Assumptions!$D$66*(1+Assumptions!$C$24)^2</f>
        <v/>
      </c>
      <c r="AD11" s="269">
        <f>Assumptions!$D$66*(1+Assumptions!$C$24)^2</f>
        <v/>
      </c>
      <c r="AE11" s="269">
        <f>Assumptions!$D$66*(1+Assumptions!$C$24)^2</f>
        <v/>
      </c>
      <c r="AF11" s="269">
        <f>Assumptions!$D$66*(1+Assumptions!$C$24)^2</f>
        <v/>
      </c>
      <c r="AG11" s="269">
        <f>Assumptions!$D$66*(1+Assumptions!$C$24)^2</f>
        <v/>
      </c>
      <c r="AH11" s="269">
        <f>Assumptions!$D$66*(1+Assumptions!$C$24)^2</f>
        <v/>
      </c>
      <c r="AI11" s="269">
        <f>Assumptions!$D$66*(1+Assumptions!$C$24)^2</f>
        <v/>
      </c>
      <c r="AJ11" s="269">
        <f>Assumptions!$D$66*(1+Assumptions!$C$24)^2</f>
        <v/>
      </c>
      <c r="AK11" s="269">
        <f>Assumptions!$D$66*(1+Assumptions!$C$24)^2</f>
        <v/>
      </c>
      <c r="AL11" s="269">
        <f>Assumptions!$D$66*(1+Assumptions!$C$24)^2</f>
        <v/>
      </c>
      <c r="AM11" s="269">
        <f>Assumptions!$D$66*(1+Assumptions!$C$24)^2</f>
        <v/>
      </c>
      <c r="AN11" s="269">
        <f>AB11</f>
        <v/>
      </c>
      <c r="AO11" s="269">
        <f>Assumptions!$D$66*(1+Assumptions!$C$24)^3</f>
        <v/>
      </c>
      <c r="AP11" s="269">
        <f>Assumptions!$D$66*(1+Assumptions!$C$24)^3</f>
        <v/>
      </c>
      <c r="AQ11" s="269">
        <f>Assumptions!$D$66*(1+Assumptions!$C$24)^3</f>
        <v/>
      </c>
      <c r="AR11" s="269">
        <f>Assumptions!$D$66*(1+Assumptions!$C$24)^3</f>
        <v/>
      </c>
      <c r="AS11" s="269">
        <f>Assumptions!$D$66*(1+Assumptions!$C$24)^3</f>
        <v/>
      </c>
      <c r="AT11" s="269">
        <f>Assumptions!$D$66*(1+Assumptions!$C$24)^3</f>
        <v/>
      </c>
      <c r="AU11" s="269">
        <f>Assumptions!$D$66*(1+Assumptions!$C$24)^3</f>
        <v/>
      </c>
      <c r="AV11" s="269">
        <f>Assumptions!$D$66*(1+Assumptions!$C$24)^3</f>
        <v/>
      </c>
      <c r="AW11" s="269">
        <f>Assumptions!$D$66*(1+Assumptions!$C$24)^3</f>
        <v/>
      </c>
      <c r="AX11" s="269">
        <f>Assumptions!$D$66*(1+Assumptions!$C$24)^3</f>
        <v/>
      </c>
      <c r="AY11" s="269">
        <f>Assumptions!$D$66*(1+Assumptions!$C$24)^3</f>
        <v/>
      </c>
      <c r="AZ11" s="269">
        <f>Assumptions!$D$66*(1+Assumptions!$C$24)^3</f>
        <v/>
      </c>
      <c r="BA11" s="269">
        <f>AO11</f>
        <v/>
      </c>
      <c r="BB11" s="269">
        <f>Assumptions!$D$66*(1+Assumptions!$C$24)^4</f>
        <v/>
      </c>
      <c r="BC11" s="269">
        <f>Assumptions!$D$66*(1+Assumptions!$C$24)^4</f>
        <v/>
      </c>
      <c r="BD11" s="269">
        <f>Assumptions!$D$66*(1+Assumptions!$C$24)^4</f>
        <v/>
      </c>
      <c r="BE11" s="269">
        <f>Assumptions!$D$66*(1+Assumptions!$C$24)^4</f>
        <v/>
      </c>
      <c r="BF11" s="269">
        <f>Assumptions!$D$66*(1+Assumptions!$C$24)^4</f>
        <v/>
      </c>
      <c r="BG11" s="269">
        <f>Assumptions!$D$66*(1+Assumptions!$C$24)^4</f>
        <v/>
      </c>
      <c r="BH11" s="269">
        <f>Assumptions!$D$66*(1+Assumptions!$C$24)^4</f>
        <v/>
      </c>
      <c r="BI11" s="269">
        <f>Assumptions!$D$66*(1+Assumptions!$C$24)^4</f>
        <v/>
      </c>
      <c r="BJ11" s="269">
        <f>Assumptions!$D$66*(1+Assumptions!$C$24)^4</f>
        <v/>
      </c>
      <c r="BK11" s="269">
        <f>Assumptions!$D$66*(1+Assumptions!$C$24)^4</f>
        <v/>
      </c>
      <c r="BL11" s="269">
        <f>Assumptions!$D$66*(1+Assumptions!$C$24)^4</f>
        <v/>
      </c>
      <c r="BM11" s="269">
        <f>Assumptions!$D$66*(1+Assumptions!$C$24)^4</f>
        <v/>
      </c>
      <c r="BN11" s="269">
        <f>BB11</f>
        <v/>
      </c>
    </row>
    <row r="12">
      <c r="A12" s="270" t="inlineStr">
        <is>
          <t>Warehousing / Storage</t>
        </is>
      </c>
      <c r="B12" s="271">
        <f>B10*B11</f>
        <v/>
      </c>
      <c r="C12" s="271">
        <f>C10*C11</f>
        <v/>
      </c>
      <c r="D12" s="271">
        <f>D10*D11</f>
        <v/>
      </c>
      <c r="E12" s="271">
        <f>E10*E11</f>
        <v/>
      </c>
      <c r="F12" s="271">
        <f>F10*F11</f>
        <v/>
      </c>
      <c r="G12" s="271">
        <f>G10*G11</f>
        <v/>
      </c>
      <c r="H12" s="271">
        <f>H10*H11</f>
        <v/>
      </c>
      <c r="I12" s="271">
        <f>I10*I11</f>
        <v/>
      </c>
      <c r="J12" s="271">
        <f>J10*J11</f>
        <v/>
      </c>
      <c r="K12" s="271">
        <f>K10*K11</f>
        <v/>
      </c>
      <c r="L12" s="271">
        <f>L10*L11</f>
        <v/>
      </c>
      <c r="M12" s="271">
        <f>M10*M11</f>
        <v/>
      </c>
      <c r="N12" s="271">
        <f>SUM(B12:M12)</f>
        <v/>
      </c>
      <c r="O12" s="271">
        <f>O10*O11</f>
        <v/>
      </c>
      <c r="P12" s="271">
        <f>P10*P11</f>
        <v/>
      </c>
      <c r="Q12" s="271">
        <f>Q10*Q11</f>
        <v/>
      </c>
      <c r="R12" s="271">
        <f>R10*R11</f>
        <v/>
      </c>
      <c r="S12" s="271">
        <f>S10*S11</f>
        <v/>
      </c>
      <c r="T12" s="271">
        <f>T10*T11</f>
        <v/>
      </c>
      <c r="U12" s="271">
        <f>U10*U11</f>
        <v/>
      </c>
      <c r="V12" s="271">
        <f>V10*V11</f>
        <v/>
      </c>
      <c r="W12" s="271">
        <f>W10*W11</f>
        <v/>
      </c>
      <c r="X12" s="271">
        <f>X10*X11</f>
        <v/>
      </c>
      <c r="Y12" s="271">
        <f>Y10*Y11</f>
        <v/>
      </c>
      <c r="Z12" s="271">
        <f>Z10*Z11</f>
        <v/>
      </c>
      <c r="AA12" s="271">
        <f>SUM(O12:Z12)</f>
        <v/>
      </c>
      <c r="AB12" s="271">
        <f>AB10*AB11</f>
        <v/>
      </c>
      <c r="AC12" s="271">
        <f>AC10*AC11</f>
        <v/>
      </c>
      <c r="AD12" s="271">
        <f>AD10*AD11</f>
        <v/>
      </c>
      <c r="AE12" s="271">
        <f>AE10*AE11</f>
        <v/>
      </c>
      <c r="AF12" s="271">
        <f>AF10*AF11</f>
        <v/>
      </c>
      <c r="AG12" s="271">
        <f>AG10*AG11</f>
        <v/>
      </c>
      <c r="AH12" s="271">
        <f>AH10*AH11</f>
        <v/>
      </c>
      <c r="AI12" s="271">
        <f>AI10*AI11</f>
        <v/>
      </c>
      <c r="AJ12" s="271">
        <f>AJ10*AJ11</f>
        <v/>
      </c>
      <c r="AK12" s="271">
        <f>AK10*AK11</f>
        <v/>
      </c>
      <c r="AL12" s="271">
        <f>AL10*AL11</f>
        <v/>
      </c>
      <c r="AM12" s="271">
        <f>AM10*AM11</f>
        <v/>
      </c>
      <c r="AN12" s="271">
        <f>SUM(AB12:AM12)</f>
        <v/>
      </c>
      <c r="AO12" s="271">
        <f>AO10*AO11</f>
        <v/>
      </c>
      <c r="AP12" s="271">
        <f>AP10*AP11</f>
        <v/>
      </c>
      <c r="AQ12" s="271">
        <f>AQ10*AQ11</f>
        <v/>
      </c>
      <c r="AR12" s="271">
        <f>AR10*AR11</f>
        <v/>
      </c>
      <c r="AS12" s="271">
        <f>AS10*AS11</f>
        <v/>
      </c>
      <c r="AT12" s="271">
        <f>AT10*AT11</f>
        <v/>
      </c>
      <c r="AU12" s="271">
        <f>AU10*AU11</f>
        <v/>
      </c>
      <c r="AV12" s="271">
        <f>AV10*AV11</f>
        <v/>
      </c>
      <c r="AW12" s="271">
        <f>AW10*AW11</f>
        <v/>
      </c>
      <c r="AX12" s="271">
        <f>AX10*AX11</f>
        <v/>
      </c>
      <c r="AY12" s="271">
        <f>AY10*AY11</f>
        <v/>
      </c>
      <c r="AZ12" s="271">
        <f>AZ10*AZ11</f>
        <v/>
      </c>
      <c r="BA12" s="271">
        <f>SUM(AO12:AZ12)</f>
        <v/>
      </c>
      <c r="BB12" s="271">
        <f>BB10*BB11</f>
        <v/>
      </c>
      <c r="BC12" s="271">
        <f>BC10*BC11</f>
        <v/>
      </c>
      <c r="BD12" s="271">
        <f>BD10*BD11</f>
        <v/>
      </c>
      <c r="BE12" s="271">
        <f>BE10*BE11</f>
        <v/>
      </c>
      <c r="BF12" s="271">
        <f>BF10*BF11</f>
        <v/>
      </c>
      <c r="BG12" s="271">
        <f>BG10*BG11</f>
        <v/>
      </c>
      <c r="BH12" s="271">
        <f>BH10*BH11</f>
        <v/>
      </c>
      <c r="BI12" s="271">
        <f>BI10*BI11</f>
        <v/>
      </c>
      <c r="BJ12" s="271">
        <f>BJ10*BJ11</f>
        <v/>
      </c>
      <c r="BK12" s="271">
        <f>BK10*BK11</f>
        <v/>
      </c>
      <c r="BL12" s="271">
        <f>BL10*BL11</f>
        <v/>
      </c>
      <c r="BM12" s="271">
        <f>BM10*BM11</f>
        <v/>
      </c>
      <c r="BN12" s="271">
        <f>SUM(BB12:BM12)</f>
        <v/>
      </c>
    </row>
    <row r="14">
      <c r="A14" s="266" t="inlineStr">
        <is>
          <t>Value-added logistics — units</t>
        </is>
      </c>
      <c r="B14" s="268">
        <f>Assumptions!$C$67*Assumptions!$C$18/12</f>
        <v/>
      </c>
      <c r="C14" s="268">
        <f>Assumptions!$C$67*Assumptions!$C$18/12</f>
        <v/>
      </c>
      <c r="D14" s="268">
        <f>Assumptions!$C$67*Assumptions!$C$18/12</f>
        <v/>
      </c>
      <c r="E14" s="268">
        <f>Assumptions!$C$67*Assumptions!$C$18/12</f>
        <v/>
      </c>
      <c r="F14" s="268">
        <f>Assumptions!$C$67*Assumptions!$C$18/12</f>
        <v/>
      </c>
      <c r="G14" s="268">
        <f>Assumptions!$C$67*Assumptions!$C$18/12</f>
        <v/>
      </c>
      <c r="H14" s="268">
        <f>Assumptions!$C$67*Assumptions!$C$18/12</f>
        <v/>
      </c>
      <c r="I14" s="268">
        <f>Assumptions!$C$67*Assumptions!$C$18/12</f>
        <v/>
      </c>
      <c r="J14" s="268">
        <f>Assumptions!$C$67*Assumptions!$C$18/12</f>
        <v/>
      </c>
      <c r="K14" s="268">
        <f>Assumptions!$C$67*Assumptions!$C$18/12</f>
        <v/>
      </c>
      <c r="L14" s="268">
        <f>Assumptions!$C$67*Assumptions!$C$18/12</f>
        <v/>
      </c>
      <c r="M14" s="268">
        <f>Assumptions!$C$67*Assumptions!$C$18/12</f>
        <v/>
      </c>
      <c r="N14" s="268">
        <f>SUM(B14:M14)</f>
        <v/>
      </c>
      <c r="O14" s="268">
        <f>Assumptions!$C$67*Assumptions!$D$18/12</f>
        <v/>
      </c>
      <c r="P14" s="268">
        <f>Assumptions!$C$67*Assumptions!$D$18/12</f>
        <v/>
      </c>
      <c r="Q14" s="268">
        <f>Assumptions!$C$67*Assumptions!$D$18/12</f>
        <v/>
      </c>
      <c r="R14" s="268">
        <f>Assumptions!$C$67*Assumptions!$D$18/12</f>
        <v/>
      </c>
      <c r="S14" s="268">
        <f>Assumptions!$C$67*Assumptions!$D$18/12</f>
        <v/>
      </c>
      <c r="T14" s="268">
        <f>Assumptions!$C$67*Assumptions!$D$18/12</f>
        <v/>
      </c>
      <c r="U14" s="268">
        <f>Assumptions!$C$67*Assumptions!$D$18/12</f>
        <v/>
      </c>
      <c r="V14" s="268">
        <f>Assumptions!$C$67*Assumptions!$D$18/12</f>
        <v/>
      </c>
      <c r="W14" s="268">
        <f>Assumptions!$C$67*Assumptions!$D$18/12</f>
        <v/>
      </c>
      <c r="X14" s="268">
        <f>Assumptions!$C$67*Assumptions!$D$18/12</f>
        <v/>
      </c>
      <c r="Y14" s="268">
        <f>Assumptions!$C$67*Assumptions!$D$18/12</f>
        <v/>
      </c>
      <c r="Z14" s="268">
        <f>Assumptions!$C$67*Assumptions!$D$18/12</f>
        <v/>
      </c>
      <c r="AA14" s="268">
        <f>SUM(O14:Z14)</f>
        <v/>
      </c>
      <c r="AB14" s="268">
        <f>Assumptions!$C$67*Assumptions!$E$18/12</f>
        <v/>
      </c>
      <c r="AC14" s="268">
        <f>Assumptions!$C$67*Assumptions!$E$18/12</f>
        <v/>
      </c>
      <c r="AD14" s="268">
        <f>Assumptions!$C$67*Assumptions!$E$18/12</f>
        <v/>
      </c>
      <c r="AE14" s="268">
        <f>Assumptions!$C$67*Assumptions!$E$18/12</f>
        <v/>
      </c>
      <c r="AF14" s="268">
        <f>Assumptions!$C$67*Assumptions!$E$18/12</f>
        <v/>
      </c>
      <c r="AG14" s="268">
        <f>Assumptions!$C$67*Assumptions!$E$18/12</f>
        <v/>
      </c>
      <c r="AH14" s="268">
        <f>Assumptions!$C$67*Assumptions!$E$18/12</f>
        <v/>
      </c>
      <c r="AI14" s="268">
        <f>Assumptions!$C$67*Assumptions!$E$18/12</f>
        <v/>
      </c>
      <c r="AJ14" s="268">
        <f>Assumptions!$C$67*Assumptions!$E$18/12</f>
        <v/>
      </c>
      <c r="AK14" s="268">
        <f>Assumptions!$C$67*Assumptions!$E$18/12</f>
        <v/>
      </c>
      <c r="AL14" s="268">
        <f>Assumptions!$C$67*Assumptions!$E$18/12</f>
        <v/>
      </c>
      <c r="AM14" s="268">
        <f>Assumptions!$C$67*Assumptions!$E$18/12</f>
        <v/>
      </c>
      <c r="AN14" s="268">
        <f>SUM(AB14:AM14)</f>
        <v/>
      </c>
      <c r="AO14" s="268">
        <f>Assumptions!$C$67*Assumptions!$F$18/12</f>
        <v/>
      </c>
      <c r="AP14" s="268">
        <f>Assumptions!$C$67*Assumptions!$F$18/12</f>
        <v/>
      </c>
      <c r="AQ14" s="268">
        <f>Assumptions!$C$67*Assumptions!$F$18/12</f>
        <v/>
      </c>
      <c r="AR14" s="268">
        <f>Assumptions!$C$67*Assumptions!$F$18/12</f>
        <v/>
      </c>
      <c r="AS14" s="268">
        <f>Assumptions!$C$67*Assumptions!$F$18/12</f>
        <v/>
      </c>
      <c r="AT14" s="268">
        <f>Assumptions!$C$67*Assumptions!$F$18/12</f>
        <v/>
      </c>
      <c r="AU14" s="268">
        <f>Assumptions!$C$67*Assumptions!$F$18/12</f>
        <v/>
      </c>
      <c r="AV14" s="268">
        <f>Assumptions!$C$67*Assumptions!$F$18/12</f>
        <v/>
      </c>
      <c r="AW14" s="268">
        <f>Assumptions!$C$67*Assumptions!$F$18/12</f>
        <v/>
      </c>
      <c r="AX14" s="268">
        <f>Assumptions!$C$67*Assumptions!$F$18/12</f>
        <v/>
      </c>
      <c r="AY14" s="268">
        <f>Assumptions!$C$67*Assumptions!$F$18/12</f>
        <v/>
      </c>
      <c r="AZ14" s="268">
        <f>Assumptions!$C$67*Assumptions!$F$18/12</f>
        <v/>
      </c>
      <c r="BA14" s="268">
        <f>SUM(AO14:AZ14)</f>
        <v/>
      </c>
      <c r="BB14" s="268">
        <f>Assumptions!$C$67*Assumptions!$G$18/12</f>
        <v/>
      </c>
      <c r="BC14" s="268">
        <f>Assumptions!$C$67*Assumptions!$G$18/12</f>
        <v/>
      </c>
      <c r="BD14" s="268">
        <f>Assumptions!$C$67*Assumptions!$G$18/12</f>
        <v/>
      </c>
      <c r="BE14" s="268">
        <f>Assumptions!$C$67*Assumptions!$G$18/12</f>
        <v/>
      </c>
      <c r="BF14" s="268">
        <f>Assumptions!$C$67*Assumptions!$G$18/12</f>
        <v/>
      </c>
      <c r="BG14" s="268">
        <f>Assumptions!$C$67*Assumptions!$G$18/12</f>
        <v/>
      </c>
      <c r="BH14" s="268">
        <f>Assumptions!$C$67*Assumptions!$G$18/12</f>
        <v/>
      </c>
      <c r="BI14" s="268">
        <f>Assumptions!$C$67*Assumptions!$G$18/12</f>
        <v/>
      </c>
      <c r="BJ14" s="268">
        <f>Assumptions!$C$67*Assumptions!$G$18/12</f>
        <v/>
      </c>
      <c r="BK14" s="268">
        <f>Assumptions!$C$67*Assumptions!$G$18/12</f>
        <v/>
      </c>
      <c r="BL14" s="268">
        <f>Assumptions!$C$67*Assumptions!$G$18/12</f>
        <v/>
      </c>
      <c r="BM14" s="268">
        <f>Assumptions!$C$67*Assumptions!$G$18/12</f>
        <v/>
      </c>
      <c r="BN14" s="268">
        <f>SUM(BB14:BM14)</f>
        <v/>
      </c>
    </row>
    <row r="15">
      <c r="A15" s="266" t="inlineStr">
        <is>
          <t>Value-added logistics — ₹ / unit</t>
        </is>
      </c>
      <c r="B15" s="269">
        <f>Assumptions!$D$67*(1+Assumptions!$C$24)^0</f>
        <v/>
      </c>
      <c r="C15" s="269">
        <f>Assumptions!$D$67*(1+Assumptions!$C$24)^0</f>
        <v/>
      </c>
      <c r="D15" s="269">
        <f>Assumptions!$D$67*(1+Assumptions!$C$24)^0</f>
        <v/>
      </c>
      <c r="E15" s="269">
        <f>Assumptions!$D$67*(1+Assumptions!$C$24)^0</f>
        <v/>
      </c>
      <c r="F15" s="269">
        <f>Assumptions!$D$67*(1+Assumptions!$C$24)^0</f>
        <v/>
      </c>
      <c r="G15" s="269">
        <f>Assumptions!$D$67*(1+Assumptions!$C$24)^0</f>
        <v/>
      </c>
      <c r="H15" s="269">
        <f>Assumptions!$D$67*(1+Assumptions!$C$24)^0</f>
        <v/>
      </c>
      <c r="I15" s="269">
        <f>Assumptions!$D$67*(1+Assumptions!$C$24)^0</f>
        <v/>
      </c>
      <c r="J15" s="269">
        <f>Assumptions!$D$67*(1+Assumptions!$C$24)^0</f>
        <v/>
      </c>
      <c r="K15" s="269">
        <f>Assumptions!$D$67*(1+Assumptions!$C$24)^0</f>
        <v/>
      </c>
      <c r="L15" s="269">
        <f>Assumptions!$D$67*(1+Assumptions!$C$24)^0</f>
        <v/>
      </c>
      <c r="M15" s="269">
        <f>Assumptions!$D$67*(1+Assumptions!$C$24)^0</f>
        <v/>
      </c>
      <c r="N15" s="269">
        <f>B15</f>
        <v/>
      </c>
      <c r="O15" s="269">
        <f>Assumptions!$D$67*(1+Assumptions!$C$24)^1</f>
        <v/>
      </c>
      <c r="P15" s="269">
        <f>Assumptions!$D$67*(1+Assumptions!$C$24)^1</f>
        <v/>
      </c>
      <c r="Q15" s="269">
        <f>Assumptions!$D$67*(1+Assumptions!$C$24)^1</f>
        <v/>
      </c>
      <c r="R15" s="269">
        <f>Assumptions!$D$67*(1+Assumptions!$C$24)^1</f>
        <v/>
      </c>
      <c r="S15" s="269">
        <f>Assumptions!$D$67*(1+Assumptions!$C$24)^1</f>
        <v/>
      </c>
      <c r="T15" s="269">
        <f>Assumptions!$D$67*(1+Assumptions!$C$24)^1</f>
        <v/>
      </c>
      <c r="U15" s="269">
        <f>Assumptions!$D$67*(1+Assumptions!$C$24)^1</f>
        <v/>
      </c>
      <c r="V15" s="269">
        <f>Assumptions!$D$67*(1+Assumptions!$C$24)^1</f>
        <v/>
      </c>
      <c r="W15" s="269">
        <f>Assumptions!$D$67*(1+Assumptions!$C$24)^1</f>
        <v/>
      </c>
      <c r="X15" s="269">
        <f>Assumptions!$D$67*(1+Assumptions!$C$24)^1</f>
        <v/>
      </c>
      <c r="Y15" s="269">
        <f>Assumptions!$D$67*(1+Assumptions!$C$24)^1</f>
        <v/>
      </c>
      <c r="Z15" s="269">
        <f>Assumptions!$D$67*(1+Assumptions!$C$24)^1</f>
        <v/>
      </c>
      <c r="AA15" s="269">
        <f>O15</f>
        <v/>
      </c>
      <c r="AB15" s="269">
        <f>Assumptions!$D$67*(1+Assumptions!$C$24)^2</f>
        <v/>
      </c>
      <c r="AC15" s="269">
        <f>Assumptions!$D$67*(1+Assumptions!$C$24)^2</f>
        <v/>
      </c>
      <c r="AD15" s="269">
        <f>Assumptions!$D$67*(1+Assumptions!$C$24)^2</f>
        <v/>
      </c>
      <c r="AE15" s="269">
        <f>Assumptions!$D$67*(1+Assumptions!$C$24)^2</f>
        <v/>
      </c>
      <c r="AF15" s="269">
        <f>Assumptions!$D$67*(1+Assumptions!$C$24)^2</f>
        <v/>
      </c>
      <c r="AG15" s="269">
        <f>Assumptions!$D$67*(1+Assumptions!$C$24)^2</f>
        <v/>
      </c>
      <c r="AH15" s="269">
        <f>Assumptions!$D$67*(1+Assumptions!$C$24)^2</f>
        <v/>
      </c>
      <c r="AI15" s="269">
        <f>Assumptions!$D$67*(1+Assumptions!$C$24)^2</f>
        <v/>
      </c>
      <c r="AJ15" s="269">
        <f>Assumptions!$D$67*(1+Assumptions!$C$24)^2</f>
        <v/>
      </c>
      <c r="AK15" s="269">
        <f>Assumptions!$D$67*(1+Assumptions!$C$24)^2</f>
        <v/>
      </c>
      <c r="AL15" s="269">
        <f>Assumptions!$D$67*(1+Assumptions!$C$24)^2</f>
        <v/>
      </c>
      <c r="AM15" s="269">
        <f>Assumptions!$D$67*(1+Assumptions!$C$24)^2</f>
        <v/>
      </c>
      <c r="AN15" s="269">
        <f>AB15</f>
        <v/>
      </c>
      <c r="AO15" s="269">
        <f>Assumptions!$D$67*(1+Assumptions!$C$24)^3</f>
        <v/>
      </c>
      <c r="AP15" s="269">
        <f>Assumptions!$D$67*(1+Assumptions!$C$24)^3</f>
        <v/>
      </c>
      <c r="AQ15" s="269">
        <f>Assumptions!$D$67*(1+Assumptions!$C$24)^3</f>
        <v/>
      </c>
      <c r="AR15" s="269">
        <f>Assumptions!$D$67*(1+Assumptions!$C$24)^3</f>
        <v/>
      </c>
      <c r="AS15" s="269">
        <f>Assumptions!$D$67*(1+Assumptions!$C$24)^3</f>
        <v/>
      </c>
      <c r="AT15" s="269">
        <f>Assumptions!$D$67*(1+Assumptions!$C$24)^3</f>
        <v/>
      </c>
      <c r="AU15" s="269">
        <f>Assumptions!$D$67*(1+Assumptions!$C$24)^3</f>
        <v/>
      </c>
      <c r="AV15" s="269">
        <f>Assumptions!$D$67*(1+Assumptions!$C$24)^3</f>
        <v/>
      </c>
      <c r="AW15" s="269">
        <f>Assumptions!$D$67*(1+Assumptions!$C$24)^3</f>
        <v/>
      </c>
      <c r="AX15" s="269">
        <f>Assumptions!$D$67*(1+Assumptions!$C$24)^3</f>
        <v/>
      </c>
      <c r="AY15" s="269">
        <f>Assumptions!$D$67*(1+Assumptions!$C$24)^3</f>
        <v/>
      </c>
      <c r="AZ15" s="269">
        <f>Assumptions!$D$67*(1+Assumptions!$C$24)^3</f>
        <v/>
      </c>
      <c r="BA15" s="269">
        <f>AO15</f>
        <v/>
      </c>
      <c r="BB15" s="269">
        <f>Assumptions!$D$67*(1+Assumptions!$C$24)^4</f>
        <v/>
      </c>
      <c r="BC15" s="269">
        <f>Assumptions!$D$67*(1+Assumptions!$C$24)^4</f>
        <v/>
      </c>
      <c r="BD15" s="269">
        <f>Assumptions!$D$67*(1+Assumptions!$C$24)^4</f>
        <v/>
      </c>
      <c r="BE15" s="269">
        <f>Assumptions!$D$67*(1+Assumptions!$C$24)^4</f>
        <v/>
      </c>
      <c r="BF15" s="269">
        <f>Assumptions!$D$67*(1+Assumptions!$C$24)^4</f>
        <v/>
      </c>
      <c r="BG15" s="269">
        <f>Assumptions!$D$67*(1+Assumptions!$C$24)^4</f>
        <v/>
      </c>
      <c r="BH15" s="269">
        <f>Assumptions!$D$67*(1+Assumptions!$C$24)^4</f>
        <v/>
      </c>
      <c r="BI15" s="269">
        <f>Assumptions!$D$67*(1+Assumptions!$C$24)^4</f>
        <v/>
      </c>
      <c r="BJ15" s="269">
        <f>Assumptions!$D$67*(1+Assumptions!$C$24)^4</f>
        <v/>
      </c>
      <c r="BK15" s="269">
        <f>Assumptions!$D$67*(1+Assumptions!$C$24)^4</f>
        <v/>
      </c>
      <c r="BL15" s="269">
        <f>Assumptions!$D$67*(1+Assumptions!$C$24)^4</f>
        <v/>
      </c>
      <c r="BM15" s="269">
        <f>Assumptions!$D$67*(1+Assumptions!$C$24)^4</f>
        <v/>
      </c>
      <c r="BN15" s="269">
        <f>BB15</f>
        <v/>
      </c>
    </row>
    <row r="16">
      <c r="A16" s="270" t="inlineStr">
        <is>
          <t>Value-added logistics</t>
        </is>
      </c>
      <c r="B16" s="271">
        <f>B14*B15</f>
        <v/>
      </c>
      <c r="C16" s="271">
        <f>C14*C15</f>
        <v/>
      </c>
      <c r="D16" s="271">
        <f>D14*D15</f>
        <v/>
      </c>
      <c r="E16" s="271">
        <f>E14*E15</f>
        <v/>
      </c>
      <c r="F16" s="271">
        <f>F14*F15</f>
        <v/>
      </c>
      <c r="G16" s="271">
        <f>G14*G15</f>
        <v/>
      </c>
      <c r="H16" s="271">
        <f>H14*H15</f>
        <v/>
      </c>
      <c r="I16" s="271">
        <f>I14*I15</f>
        <v/>
      </c>
      <c r="J16" s="271">
        <f>J14*J15</f>
        <v/>
      </c>
      <c r="K16" s="271">
        <f>K14*K15</f>
        <v/>
      </c>
      <c r="L16" s="271">
        <f>L14*L15</f>
        <v/>
      </c>
      <c r="M16" s="271">
        <f>M14*M15</f>
        <v/>
      </c>
      <c r="N16" s="271">
        <f>SUM(B16:M16)</f>
        <v/>
      </c>
      <c r="O16" s="271">
        <f>O14*O15</f>
        <v/>
      </c>
      <c r="P16" s="271">
        <f>P14*P15</f>
        <v/>
      </c>
      <c r="Q16" s="271">
        <f>Q14*Q15</f>
        <v/>
      </c>
      <c r="R16" s="271">
        <f>R14*R15</f>
        <v/>
      </c>
      <c r="S16" s="271">
        <f>S14*S15</f>
        <v/>
      </c>
      <c r="T16" s="271">
        <f>T14*T15</f>
        <v/>
      </c>
      <c r="U16" s="271">
        <f>U14*U15</f>
        <v/>
      </c>
      <c r="V16" s="271">
        <f>V14*V15</f>
        <v/>
      </c>
      <c r="W16" s="271">
        <f>W14*W15</f>
        <v/>
      </c>
      <c r="X16" s="271">
        <f>X14*X15</f>
        <v/>
      </c>
      <c r="Y16" s="271">
        <f>Y14*Y15</f>
        <v/>
      </c>
      <c r="Z16" s="271">
        <f>Z14*Z15</f>
        <v/>
      </c>
      <c r="AA16" s="271">
        <f>SUM(O16:Z16)</f>
        <v/>
      </c>
      <c r="AB16" s="271">
        <f>AB14*AB15</f>
        <v/>
      </c>
      <c r="AC16" s="271">
        <f>AC14*AC15</f>
        <v/>
      </c>
      <c r="AD16" s="271">
        <f>AD14*AD15</f>
        <v/>
      </c>
      <c r="AE16" s="271">
        <f>AE14*AE15</f>
        <v/>
      </c>
      <c r="AF16" s="271">
        <f>AF14*AF15</f>
        <v/>
      </c>
      <c r="AG16" s="271">
        <f>AG14*AG15</f>
        <v/>
      </c>
      <c r="AH16" s="271">
        <f>AH14*AH15</f>
        <v/>
      </c>
      <c r="AI16" s="271">
        <f>AI14*AI15</f>
        <v/>
      </c>
      <c r="AJ16" s="271">
        <f>AJ14*AJ15</f>
        <v/>
      </c>
      <c r="AK16" s="271">
        <f>AK14*AK15</f>
        <v/>
      </c>
      <c r="AL16" s="271">
        <f>AL14*AL15</f>
        <v/>
      </c>
      <c r="AM16" s="271">
        <f>AM14*AM15</f>
        <v/>
      </c>
      <c r="AN16" s="271">
        <f>SUM(AB16:AM16)</f>
        <v/>
      </c>
      <c r="AO16" s="271">
        <f>AO14*AO15</f>
        <v/>
      </c>
      <c r="AP16" s="271">
        <f>AP14*AP15</f>
        <v/>
      </c>
      <c r="AQ16" s="271">
        <f>AQ14*AQ15</f>
        <v/>
      </c>
      <c r="AR16" s="271">
        <f>AR14*AR15</f>
        <v/>
      </c>
      <c r="AS16" s="271">
        <f>AS14*AS15</f>
        <v/>
      </c>
      <c r="AT16" s="271">
        <f>AT14*AT15</f>
        <v/>
      </c>
      <c r="AU16" s="271">
        <f>AU14*AU15</f>
        <v/>
      </c>
      <c r="AV16" s="271">
        <f>AV14*AV15</f>
        <v/>
      </c>
      <c r="AW16" s="271">
        <f>AW14*AW15</f>
        <v/>
      </c>
      <c r="AX16" s="271">
        <f>AX14*AX15</f>
        <v/>
      </c>
      <c r="AY16" s="271">
        <f>AY14*AY15</f>
        <v/>
      </c>
      <c r="AZ16" s="271">
        <f>AZ14*AZ15</f>
        <v/>
      </c>
      <c r="BA16" s="271">
        <f>SUM(AO16:AZ16)</f>
        <v/>
      </c>
      <c r="BB16" s="271">
        <f>BB14*BB15</f>
        <v/>
      </c>
      <c r="BC16" s="271">
        <f>BC14*BC15</f>
        <v/>
      </c>
      <c r="BD16" s="271">
        <f>BD14*BD15</f>
        <v/>
      </c>
      <c r="BE16" s="271">
        <f>BE14*BE15</f>
        <v/>
      </c>
      <c r="BF16" s="271">
        <f>BF14*BF15</f>
        <v/>
      </c>
      <c r="BG16" s="271">
        <f>BG14*BG15</f>
        <v/>
      </c>
      <c r="BH16" s="271">
        <f>BH14*BH15</f>
        <v/>
      </c>
      <c r="BI16" s="271">
        <f>BI14*BI15</f>
        <v/>
      </c>
      <c r="BJ16" s="271">
        <f>BJ14*BJ15</f>
        <v/>
      </c>
      <c r="BK16" s="271">
        <f>BK14*BK15</f>
        <v/>
      </c>
      <c r="BL16" s="271">
        <f>BL14*BL15</f>
        <v/>
      </c>
      <c r="BM16" s="271">
        <f>BM14*BM15</f>
        <v/>
      </c>
      <c r="BN16" s="271">
        <f>SUM(BB16:BM16)</f>
        <v/>
      </c>
    </row>
    <row r="18">
      <c r="A18" s="266" t="inlineStr">
        <is>
          <t>Express / Priority — units</t>
        </is>
      </c>
      <c r="B18" s="268">
        <f>Assumptions!$C$68*Assumptions!$C$18/12</f>
        <v/>
      </c>
      <c r="C18" s="268">
        <f>Assumptions!$C$68*Assumptions!$C$18/12</f>
        <v/>
      </c>
      <c r="D18" s="268">
        <f>Assumptions!$C$68*Assumptions!$C$18/12</f>
        <v/>
      </c>
      <c r="E18" s="268">
        <f>Assumptions!$C$68*Assumptions!$C$18/12</f>
        <v/>
      </c>
      <c r="F18" s="268">
        <f>Assumptions!$C$68*Assumptions!$C$18/12</f>
        <v/>
      </c>
      <c r="G18" s="268">
        <f>Assumptions!$C$68*Assumptions!$C$18/12</f>
        <v/>
      </c>
      <c r="H18" s="268">
        <f>Assumptions!$C$68*Assumptions!$C$18/12</f>
        <v/>
      </c>
      <c r="I18" s="268">
        <f>Assumptions!$C$68*Assumptions!$C$18/12</f>
        <v/>
      </c>
      <c r="J18" s="268">
        <f>Assumptions!$C$68*Assumptions!$C$18/12</f>
        <v/>
      </c>
      <c r="K18" s="268">
        <f>Assumptions!$C$68*Assumptions!$C$18/12</f>
        <v/>
      </c>
      <c r="L18" s="268">
        <f>Assumptions!$C$68*Assumptions!$C$18/12</f>
        <v/>
      </c>
      <c r="M18" s="268">
        <f>Assumptions!$C$68*Assumptions!$C$18/12</f>
        <v/>
      </c>
      <c r="N18" s="268">
        <f>SUM(B18:M18)</f>
        <v/>
      </c>
      <c r="O18" s="268">
        <f>Assumptions!$C$68*Assumptions!$D$18/12</f>
        <v/>
      </c>
      <c r="P18" s="268">
        <f>Assumptions!$C$68*Assumptions!$D$18/12</f>
        <v/>
      </c>
      <c r="Q18" s="268">
        <f>Assumptions!$C$68*Assumptions!$D$18/12</f>
        <v/>
      </c>
      <c r="R18" s="268">
        <f>Assumptions!$C$68*Assumptions!$D$18/12</f>
        <v/>
      </c>
      <c r="S18" s="268">
        <f>Assumptions!$C$68*Assumptions!$D$18/12</f>
        <v/>
      </c>
      <c r="T18" s="268">
        <f>Assumptions!$C$68*Assumptions!$D$18/12</f>
        <v/>
      </c>
      <c r="U18" s="268">
        <f>Assumptions!$C$68*Assumptions!$D$18/12</f>
        <v/>
      </c>
      <c r="V18" s="268">
        <f>Assumptions!$C$68*Assumptions!$D$18/12</f>
        <v/>
      </c>
      <c r="W18" s="268">
        <f>Assumptions!$C$68*Assumptions!$D$18/12</f>
        <v/>
      </c>
      <c r="X18" s="268">
        <f>Assumptions!$C$68*Assumptions!$D$18/12</f>
        <v/>
      </c>
      <c r="Y18" s="268">
        <f>Assumptions!$C$68*Assumptions!$D$18/12</f>
        <v/>
      </c>
      <c r="Z18" s="268">
        <f>Assumptions!$C$68*Assumptions!$D$18/12</f>
        <v/>
      </c>
      <c r="AA18" s="268">
        <f>SUM(O18:Z18)</f>
        <v/>
      </c>
      <c r="AB18" s="268">
        <f>Assumptions!$C$68*Assumptions!$E$18/12</f>
        <v/>
      </c>
      <c r="AC18" s="268">
        <f>Assumptions!$C$68*Assumptions!$E$18/12</f>
        <v/>
      </c>
      <c r="AD18" s="268">
        <f>Assumptions!$C$68*Assumptions!$E$18/12</f>
        <v/>
      </c>
      <c r="AE18" s="268">
        <f>Assumptions!$C$68*Assumptions!$E$18/12</f>
        <v/>
      </c>
      <c r="AF18" s="268">
        <f>Assumptions!$C$68*Assumptions!$E$18/12</f>
        <v/>
      </c>
      <c r="AG18" s="268">
        <f>Assumptions!$C$68*Assumptions!$E$18/12</f>
        <v/>
      </c>
      <c r="AH18" s="268">
        <f>Assumptions!$C$68*Assumptions!$E$18/12</f>
        <v/>
      </c>
      <c r="AI18" s="268">
        <f>Assumptions!$C$68*Assumptions!$E$18/12</f>
        <v/>
      </c>
      <c r="AJ18" s="268">
        <f>Assumptions!$C$68*Assumptions!$E$18/12</f>
        <v/>
      </c>
      <c r="AK18" s="268">
        <f>Assumptions!$C$68*Assumptions!$E$18/12</f>
        <v/>
      </c>
      <c r="AL18" s="268">
        <f>Assumptions!$C$68*Assumptions!$E$18/12</f>
        <v/>
      </c>
      <c r="AM18" s="268">
        <f>Assumptions!$C$68*Assumptions!$E$18/12</f>
        <v/>
      </c>
      <c r="AN18" s="268">
        <f>SUM(AB18:AM18)</f>
        <v/>
      </c>
      <c r="AO18" s="268">
        <f>Assumptions!$C$68*Assumptions!$F$18/12</f>
        <v/>
      </c>
      <c r="AP18" s="268">
        <f>Assumptions!$C$68*Assumptions!$F$18/12</f>
        <v/>
      </c>
      <c r="AQ18" s="268">
        <f>Assumptions!$C$68*Assumptions!$F$18/12</f>
        <v/>
      </c>
      <c r="AR18" s="268">
        <f>Assumptions!$C$68*Assumptions!$F$18/12</f>
        <v/>
      </c>
      <c r="AS18" s="268">
        <f>Assumptions!$C$68*Assumptions!$F$18/12</f>
        <v/>
      </c>
      <c r="AT18" s="268">
        <f>Assumptions!$C$68*Assumptions!$F$18/12</f>
        <v/>
      </c>
      <c r="AU18" s="268">
        <f>Assumptions!$C$68*Assumptions!$F$18/12</f>
        <v/>
      </c>
      <c r="AV18" s="268">
        <f>Assumptions!$C$68*Assumptions!$F$18/12</f>
        <v/>
      </c>
      <c r="AW18" s="268">
        <f>Assumptions!$C$68*Assumptions!$F$18/12</f>
        <v/>
      </c>
      <c r="AX18" s="268">
        <f>Assumptions!$C$68*Assumptions!$F$18/12</f>
        <v/>
      </c>
      <c r="AY18" s="268">
        <f>Assumptions!$C$68*Assumptions!$F$18/12</f>
        <v/>
      </c>
      <c r="AZ18" s="268">
        <f>Assumptions!$C$68*Assumptions!$F$18/12</f>
        <v/>
      </c>
      <c r="BA18" s="268">
        <f>SUM(AO18:AZ18)</f>
        <v/>
      </c>
      <c r="BB18" s="268">
        <f>Assumptions!$C$68*Assumptions!$G$18/12</f>
        <v/>
      </c>
      <c r="BC18" s="268">
        <f>Assumptions!$C$68*Assumptions!$G$18/12</f>
        <v/>
      </c>
      <c r="BD18" s="268">
        <f>Assumptions!$C$68*Assumptions!$G$18/12</f>
        <v/>
      </c>
      <c r="BE18" s="268">
        <f>Assumptions!$C$68*Assumptions!$G$18/12</f>
        <v/>
      </c>
      <c r="BF18" s="268">
        <f>Assumptions!$C$68*Assumptions!$G$18/12</f>
        <v/>
      </c>
      <c r="BG18" s="268">
        <f>Assumptions!$C$68*Assumptions!$G$18/12</f>
        <v/>
      </c>
      <c r="BH18" s="268">
        <f>Assumptions!$C$68*Assumptions!$G$18/12</f>
        <v/>
      </c>
      <c r="BI18" s="268">
        <f>Assumptions!$C$68*Assumptions!$G$18/12</f>
        <v/>
      </c>
      <c r="BJ18" s="268">
        <f>Assumptions!$C$68*Assumptions!$G$18/12</f>
        <v/>
      </c>
      <c r="BK18" s="268">
        <f>Assumptions!$C$68*Assumptions!$G$18/12</f>
        <v/>
      </c>
      <c r="BL18" s="268">
        <f>Assumptions!$C$68*Assumptions!$G$18/12</f>
        <v/>
      </c>
      <c r="BM18" s="268">
        <f>Assumptions!$C$68*Assumptions!$G$18/12</f>
        <v/>
      </c>
      <c r="BN18" s="268">
        <f>SUM(BB18:BM18)</f>
        <v/>
      </c>
    </row>
    <row r="19">
      <c r="A19" s="266" t="inlineStr">
        <is>
          <t>Express / Priority — ₹ / unit</t>
        </is>
      </c>
      <c r="B19" s="269">
        <f>Assumptions!$D$68*(1+Assumptions!$C$24)^0</f>
        <v/>
      </c>
      <c r="C19" s="269">
        <f>Assumptions!$D$68*(1+Assumptions!$C$24)^0</f>
        <v/>
      </c>
      <c r="D19" s="269">
        <f>Assumptions!$D$68*(1+Assumptions!$C$24)^0</f>
        <v/>
      </c>
      <c r="E19" s="269">
        <f>Assumptions!$D$68*(1+Assumptions!$C$24)^0</f>
        <v/>
      </c>
      <c r="F19" s="269">
        <f>Assumptions!$D$68*(1+Assumptions!$C$24)^0</f>
        <v/>
      </c>
      <c r="G19" s="269">
        <f>Assumptions!$D$68*(1+Assumptions!$C$24)^0</f>
        <v/>
      </c>
      <c r="H19" s="269">
        <f>Assumptions!$D$68*(1+Assumptions!$C$24)^0</f>
        <v/>
      </c>
      <c r="I19" s="269">
        <f>Assumptions!$D$68*(1+Assumptions!$C$24)^0</f>
        <v/>
      </c>
      <c r="J19" s="269">
        <f>Assumptions!$D$68*(1+Assumptions!$C$24)^0</f>
        <v/>
      </c>
      <c r="K19" s="269">
        <f>Assumptions!$D$68*(1+Assumptions!$C$24)^0</f>
        <v/>
      </c>
      <c r="L19" s="269">
        <f>Assumptions!$D$68*(1+Assumptions!$C$24)^0</f>
        <v/>
      </c>
      <c r="M19" s="269">
        <f>Assumptions!$D$68*(1+Assumptions!$C$24)^0</f>
        <v/>
      </c>
      <c r="N19" s="269">
        <f>B19</f>
        <v/>
      </c>
      <c r="O19" s="269">
        <f>Assumptions!$D$68*(1+Assumptions!$C$24)^1</f>
        <v/>
      </c>
      <c r="P19" s="269">
        <f>Assumptions!$D$68*(1+Assumptions!$C$24)^1</f>
        <v/>
      </c>
      <c r="Q19" s="269">
        <f>Assumptions!$D$68*(1+Assumptions!$C$24)^1</f>
        <v/>
      </c>
      <c r="R19" s="269">
        <f>Assumptions!$D$68*(1+Assumptions!$C$24)^1</f>
        <v/>
      </c>
      <c r="S19" s="269">
        <f>Assumptions!$D$68*(1+Assumptions!$C$24)^1</f>
        <v/>
      </c>
      <c r="T19" s="269">
        <f>Assumptions!$D$68*(1+Assumptions!$C$24)^1</f>
        <v/>
      </c>
      <c r="U19" s="269">
        <f>Assumptions!$D$68*(1+Assumptions!$C$24)^1</f>
        <v/>
      </c>
      <c r="V19" s="269">
        <f>Assumptions!$D$68*(1+Assumptions!$C$24)^1</f>
        <v/>
      </c>
      <c r="W19" s="269">
        <f>Assumptions!$D$68*(1+Assumptions!$C$24)^1</f>
        <v/>
      </c>
      <c r="X19" s="269">
        <f>Assumptions!$D$68*(1+Assumptions!$C$24)^1</f>
        <v/>
      </c>
      <c r="Y19" s="269">
        <f>Assumptions!$D$68*(1+Assumptions!$C$24)^1</f>
        <v/>
      </c>
      <c r="Z19" s="269">
        <f>Assumptions!$D$68*(1+Assumptions!$C$24)^1</f>
        <v/>
      </c>
      <c r="AA19" s="269">
        <f>O19</f>
        <v/>
      </c>
      <c r="AB19" s="269">
        <f>Assumptions!$D$68*(1+Assumptions!$C$24)^2</f>
        <v/>
      </c>
      <c r="AC19" s="269">
        <f>Assumptions!$D$68*(1+Assumptions!$C$24)^2</f>
        <v/>
      </c>
      <c r="AD19" s="269">
        <f>Assumptions!$D$68*(1+Assumptions!$C$24)^2</f>
        <v/>
      </c>
      <c r="AE19" s="269">
        <f>Assumptions!$D$68*(1+Assumptions!$C$24)^2</f>
        <v/>
      </c>
      <c r="AF19" s="269">
        <f>Assumptions!$D$68*(1+Assumptions!$C$24)^2</f>
        <v/>
      </c>
      <c r="AG19" s="269">
        <f>Assumptions!$D$68*(1+Assumptions!$C$24)^2</f>
        <v/>
      </c>
      <c r="AH19" s="269">
        <f>Assumptions!$D$68*(1+Assumptions!$C$24)^2</f>
        <v/>
      </c>
      <c r="AI19" s="269">
        <f>Assumptions!$D$68*(1+Assumptions!$C$24)^2</f>
        <v/>
      </c>
      <c r="AJ19" s="269">
        <f>Assumptions!$D$68*(1+Assumptions!$C$24)^2</f>
        <v/>
      </c>
      <c r="AK19" s="269">
        <f>Assumptions!$D$68*(1+Assumptions!$C$24)^2</f>
        <v/>
      </c>
      <c r="AL19" s="269">
        <f>Assumptions!$D$68*(1+Assumptions!$C$24)^2</f>
        <v/>
      </c>
      <c r="AM19" s="269">
        <f>Assumptions!$D$68*(1+Assumptions!$C$24)^2</f>
        <v/>
      </c>
      <c r="AN19" s="269">
        <f>AB19</f>
        <v/>
      </c>
      <c r="AO19" s="269">
        <f>Assumptions!$D$68*(1+Assumptions!$C$24)^3</f>
        <v/>
      </c>
      <c r="AP19" s="269">
        <f>Assumptions!$D$68*(1+Assumptions!$C$24)^3</f>
        <v/>
      </c>
      <c r="AQ19" s="269">
        <f>Assumptions!$D$68*(1+Assumptions!$C$24)^3</f>
        <v/>
      </c>
      <c r="AR19" s="269">
        <f>Assumptions!$D$68*(1+Assumptions!$C$24)^3</f>
        <v/>
      </c>
      <c r="AS19" s="269">
        <f>Assumptions!$D$68*(1+Assumptions!$C$24)^3</f>
        <v/>
      </c>
      <c r="AT19" s="269">
        <f>Assumptions!$D$68*(1+Assumptions!$C$24)^3</f>
        <v/>
      </c>
      <c r="AU19" s="269">
        <f>Assumptions!$D$68*(1+Assumptions!$C$24)^3</f>
        <v/>
      </c>
      <c r="AV19" s="269">
        <f>Assumptions!$D$68*(1+Assumptions!$C$24)^3</f>
        <v/>
      </c>
      <c r="AW19" s="269">
        <f>Assumptions!$D$68*(1+Assumptions!$C$24)^3</f>
        <v/>
      </c>
      <c r="AX19" s="269">
        <f>Assumptions!$D$68*(1+Assumptions!$C$24)^3</f>
        <v/>
      </c>
      <c r="AY19" s="269">
        <f>Assumptions!$D$68*(1+Assumptions!$C$24)^3</f>
        <v/>
      </c>
      <c r="AZ19" s="269">
        <f>Assumptions!$D$68*(1+Assumptions!$C$24)^3</f>
        <v/>
      </c>
      <c r="BA19" s="269">
        <f>AO19</f>
        <v/>
      </c>
      <c r="BB19" s="269">
        <f>Assumptions!$D$68*(1+Assumptions!$C$24)^4</f>
        <v/>
      </c>
      <c r="BC19" s="269">
        <f>Assumptions!$D$68*(1+Assumptions!$C$24)^4</f>
        <v/>
      </c>
      <c r="BD19" s="269">
        <f>Assumptions!$D$68*(1+Assumptions!$C$24)^4</f>
        <v/>
      </c>
      <c r="BE19" s="269">
        <f>Assumptions!$D$68*(1+Assumptions!$C$24)^4</f>
        <v/>
      </c>
      <c r="BF19" s="269">
        <f>Assumptions!$D$68*(1+Assumptions!$C$24)^4</f>
        <v/>
      </c>
      <c r="BG19" s="269">
        <f>Assumptions!$D$68*(1+Assumptions!$C$24)^4</f>
        <v/>
      </c>
      <c r="BH19" s="269">
        <f>Assumptions!$D$68*(1+Assumptions!$C$24)^4</f>
        <v/>
      </c>
      <c r="BI19" s="269">
        <f>Assumptions!$D$68*(1+Assumptions!$C$24)^4</f>
        <v/>
      </c>
      <c r="BJ19" s="269">
        <f>Assumptions!$D$68*(1+Assumptions!$C$24)^4</f>
        <v/>
      </c>
      <c r="BK19" s="269">
        <f>Assumptions!$D$68*(1+Assumptions!$C$24)^4</f>
        <v/>
      </c>
      <c r="BL19" s="269">
        <f>Assumptions!$D$68*(1+Assumptions!$C$24)^4</f>
        <v/>
      </c>
      <c r="BM19" s="269">
        <f>Assumptions!$D$68*(1+Assumptions!$C$24)^4</f>
        <v/>
      </c>
      <c r="BN19" s="269">
        <f>BB19</f>
        <v/>
      </c>
    </row>
    <row r="20">
      <c r="A20" s="270" t="inlineStr">
        <is>
          <t>Express / Priority</t>
        </is>
      </c>
      <c r="B20" s="271">
        <f>B18*B19</f>
        <v/>
      </c>
      <c r="C20" s="271">
        <f>C18*C19</f>
        <v/>
      </c>
      <c r="D20" s="271">
        <f>D18*D19</f>
        <v/>
      </c>
      <c r="E20" s="271">
        <f>E18*E19</f>
        <v/>
      </c>
      <c r="F20" s="271">
        <f>F18*F19</f>
        <v/>
      </c>
      <c r="G20" s="271">
        <f>G18*G19</f>
        <v/>
      </c>
      <c r="H20" s="271">
        <f>H18*H19</f>
        <v/>
      </c>
      <c r="I20" s="271">
        <f>I18*I19</f>
        <v/>
      </c>
      <c r="J20" s="271">
        <f>J18*J19</f>
        <v/>
      </c>
      <c r="K20" s="271">
        <f>K18*K19</f>
        <v/>
      </c>
      <c r="L20" s="271">
        <f>L18*L19</f>
        <v/>
      </c>
      <c r="M20" s="271">
        <f>M18*M19</f>
        <v/>
      </c>
      <c r="N20" s="271">
        <f>SUM(B20:M20)</f>
        <v/>
      </c>
      <c r="O20" s="271">
        <f>O18*O19</f>
        <v/>
      </c>
      <c r="P20" s="271">
        <f>P18*P19</f>
        <v/>
      </c>
      <c r="Q20" s="271">
        <f>Q18*Q19</f>
        <v/>
      </c>
      <c r="R20" s="271">
        <f>R18*R19</f>
        <v/>
      </c>
      <c r="S20" s="271">
        <f>S18*S19</f>
        <v/>
      </c>
      <c r="T20" s="271">
        <f>T18*T19</f>
        <v/>
      </c>
      <c r="U20" s="271">
        <f>U18*U19</f>
        <v/>
      </c>
      <c r="V20" s="271">
        <f>V18*V19</f>
        <v/>
      </c>
      <c r="W20" s="271">
        <f>W18*W19</f>
        <v/>
      </c>
      <c r="X20" s="271">
        <f>X18*X19</f>
        <v/>
      </c>
      <c r="Y20" s="271">
        <f>Y18*Y19</f>
        <v/>
      </c>
      <c r="Z20" s="271">
        <f>Z18*Z19</f>
        <v/>
      </c>
      <c r="AA20" s="271">
        <f>SUM(O20:Z20)</f>
        <v/>
      </c>
      <c r="AB20" s="271">
        <f>AB18*AB19</f>
        <v/>
      </c>
      <c r="AC20" s="271">
        <f>AC18*AC19</f>
        <v/>
      </c>
      <c r="AD20" s="271">
        <f>AD18*AD19</f>
        <v/>
      </c>
      <c r="AE20" s="271">
        <f>AE18*AE19</f>
        <v/>
      </c>
      <c r="AF20" s="271">
        <f>AF18*AF19</f>
        <v/>
      </c>
      <c r="AG20" s="271">
        <f>AG18*AG19</f>
        <v/>
      </c>
      <c r="AH20" s="271">
        <f>AH18*AH19</f>
        <v/>
      </c>
      <c r="AI20" s="271">
        <f>AI18*AI19</f>
        <v/>
      </c>
      <c r="AJ20" s="271">
        <f>AJ18*AJ19</f>
        <v/>
      </c>
      <c r="AK20" s="271">
        <f>AK18*AK19</f>
        <v/>
      </c>
      <c r="AL20" s="271">
        <f>AL18*AL19</f>
        <v/>
      </c>
      <c r="AM20" s="271">
        <f>AM18*AM19</f>
        <v/>
      </c>
      <c r="AN20" s="271">
        <f>SUM(AB20:AM20)</f>
        <v/>
      </c>
      <c r="AO20" s="271">
        <f>AO18*AO19</f>
        <v/>
      </c>
      <c r="AP20" s="271">
        <f>AP18*AP19</f>
        <v/>
      </c>
      <c r="AQ20" s="271">
        <f>AQ18*AQ19</f>
        <v/>
      </c>
      <c r="AR20" s="271">
        <f>AR18*AR19</f>
        <v/>
      </c>
      <c r="AS20" s="271">
        <f>AS18*AS19</f>
        <v/>
      </c>
      <c r="AT20" s="271">
        <f>AT18*AT19</f>
        <v/>
      </c>
      <c r="AU20" s="271">
        <f>AU18*AU19</f>
        <v/>
      </c>
      <c r="AV20" s="271">
        <f>AV18*AV19</f>
        <v/>
      </c>
      <c r="AW20" s="271">
        <f>AW18*AW19</f>
        <v/>
      </c>
      <c r="AX20" s="271">
        <f>AX18*AX19</f>
        <v/>
      </c>
      <c r="AY20" s="271">
        <f>AY18*AY19</f>
        <v/>
      </c>
      <c r="AZ20" s="271">
        <f>AZ18*AZ19</f>
        <v/>
      </c>
      <c r="BA20" s="271">
        <f>SUM(AO20:AZ20)</f>
        <v/>
      </c>
      <c r="BB20" s="271">
        <f>BB18*BB19</f>
        <v/>
      </c>
      <c r="BC20" s="271">
        <f>BC18*BC19</f>
        <v/>
      </c>
      <c r="BD20" s="271">
        <f>BD18*BD19</f>
        <v/>
      </c>
      <c r="BE20" s="271">
        <f>BE18*BE19</f>
        <v/>
      </c>
      <c r="BF20" s="271">
        <f>BF18*BF19</f>
        <v/>
      </c>
      <c r="BG20" s="271">
        <f>BG18*BG19</f>
        <v/>
      </c>
      <c r="BH20" s="271">
        <f>BH18*BH19</f>
        <v/>
      </c>
      <c r="BI20" s="271">
        <f>BI18*BI19</f>
        <v/>
      </c>
      <c r="BJ20" s="271">
        <f>BJ18*BJ19</f>
        <v/>
      </c>
      <c r="BK20" s="271">
        <f>BK18*BK19</f>
        <v/>
      </c>
      <c r="BL20" s="271">
        <f>BL18*BL19</f>
        <v/>
      </c>
      <c r="BM20" s="271">
        <f>BM18*BM19</f>
        <v/>
      </c>
      <c r="BN20" s="271">
        <f>SUM(BB20:BM20)</f>
        <v/>
      </c>
    </row>
    <row r="22">
      <c r="A22" s="266" t="inlineStr">
        <is>
          <t>Other revenue — units</t>
        </is>
      </c>
      <c r="B22" s="268">
        <f>Assumptions!$C$69*Assumptions!$C$18/12</f>
        <v/>
      </c>
      <c r="C22" s="268">
        <f>Assumptions!$C$69*Assumptions!$C$18/12</f>
        <v/>
      </c>
      <c r="D22" s="268">
        <f>Assumptions!$C$69*Assumptions!$C$18/12</f>
        <v/>
      </c>
      <c r="E22" s="268">
        <f>Assumptions!$C$69*Assumptions!$C$18/12</f>
        <v/>
      </c>
      <c r="F22" s="268">
        <f>Assumptions!$C$69*Assumptions!$C$18/12</f>
        <v/>
      </c>
      <c r="G22" s="268">
        <f>Assumptions!$C$69*Assumptions!$C$18/12</f>
        <v/>
      </c>
      <c r="H22" s="268">
        <f>Assumptions!$C$69*Assumptions!$C$18/12</f>
        <v/>
      </c>
      <c r="I22" s="268">
        <f>Assumptions!$C$69*Assumptions!$C$18/12</f>
        <v/>
      </c>
      <c r="J22" s="268">
        <f>Assumptions!$C$69*Assumptions!$C$18/12</f>
        <v/>
      </c>
      <c r="K22" s="268">
        <f>Assumptions!$C$69*Assumptions!$C$18/12</f>
        <v/>
      </c>
      <c r="L22" s="268">
        <f>Assumptions!$C$69*Assumptions!$C$18/12</f>
        <v/>
      </c>
      <c r="M22" s="268">
        <f>Assumptions!$C$69*Assumptions!$C$18/12</f>
        <v/>
      </c>
      <c r="N22" s="268">
        <f>SUM(B22:M22)</f>
        <v/>
      </c>
      <c r="O22" s="268">
        <f>Assumptions!$C$69*Assumptions!$D$18/12</f>
        <v/>
      </c>
      <c r="P22" s="268">
        <f>Assumptions!$C$69*Assumptions!$D$18/12</f>
        <v/>
      </c>
      <c r="Q22" s="268">
        <f>Assumptions!$C$69*Assumptions!$D$18/12</f>
        <v/>
      </c>
      <c r="R22" s="268">
        <f>Assumptions!$C$69*Assumptions!$D$18/12</f>
        <v/>
      </c>
      <c r="S22" s="268">
        <f>Assumptions!$C$69*Assumptions!$D$18/12</f>
        <v/>
      </c>
      <c r="T22" s="268">
        <f>Assumptions!$C$69*Assumptions!$D$18/12</f>
        <v/>
      </c>
      <c r="U22" s="268">
        <f>Assumptions!$C$69*Assumptions!$D$18/12</f>
        <v/>
      </c>
      <c r="V22" s="268">
        <f>Assumptions!$C$69*Assumptions!$D$18/12</f>
        <v/>
      </c>
      <c r="W22" s="268">
        <f>Assumptions!$C$69*Assumptions!$D$18/12</f>
        <v/>
      </c>
      <c r="X22" s="268">
        <f>Assumptions!$C$69*Assumptions!$D$18/12</f>
        <v/>
      </c>
      <c r="Y22" s="268">
        <f>Assumptions!$C$69*Assumptions!$D$18/12</f>
        <v/>
      </c>
      <c r="Z22" s="268">
        <f>Assumptions!$C$69*Assumptions!$D$18/12</f>
        <v/>
      </c>
      <c r="AA22" s="268">
        <f>SUM(O22:Z22)</f>
        <v/>
      </c>
      <c r="AB22" s="268">
        <f>Assumptions!$C$69*Assumptions!$E$18/12</f>
        <v/>
      </c>
      <c r="AC22" s="268">
        <f>Assumptions!$C$69*Assumptions!$E$18/12</f>
        <v/>
      </c>
      <c r="AD22" s="268">
        <f>Assumptions!$C$69*Assumptions!$E$18/12</f>
        <v/>
      </c>
      <c r="AE22" s="268">
        <f>Assumptions!$C$69*Assumptions!$E$18/12</f>
        <v/>
      </c>
      <c r="AF22" s="268">
        <f>Assumptions!$C$69*Assumptions!$E$18/12</f>
        <v/>
      </c>
      <c r="AG22" s="268">
        <f>Assumptions!$C$69*Assumptions!$E$18/12</f>
        <v/>
      </c>
      <c r="AH22" s="268">
        <f>Assumptions!$C$69*Assumptions!$E$18/12</f>
        <v/>
      </c>
      <c r="AI22" s="268">
        <f>Assumptions!$C$69*Assumptions!$E$18/12</f>
        <v/>
      </c>
      <c r="AJ22" s="268">
        <f>Assumptions!$C$69*Assumptions!$E$18/12</f>
        <v/>
      </c>
      <c r="AK22" s="268">
        <f>Assumptions!$C$69*Assumptions!$E$18/12</f>
        <v/>
      </c>
      <c r="AL22" s="268">
        <f>Assumptions!$C$69*Assumptions!$E$18/12</f>
        <v/>
      </c>
      <c r="AM22" s="268">
        <f>Assumptions!$C$69*Assumptions!$E$18/12</f>
        <v/>
      </c>
      <c r="AN22" s="268">
        <f>SUM(AB22:AM22)</f>
        <v/>
      </c>
      <c r="AO22" s="268">
        <f>Assumptions!$C$69*Assumptions!$F$18/12</f>
        <v/>
      </c>
      <c r="AP22" s="268">
        <f>Assumptions!$C$69*Assumptions!$F$18/12</f>
        <v/>
      </c>
      <c r="AQ22" s="268">
        <f>Assumptions!$C$69*Assumptions!$F$18/12</f>
        <v/>
      </c>
      <c r="AR22" s="268">
        <f>Assumptions!$C$69*Assumptions!$F$18/12</f>
        <v/>
      </c>
      <c r="AS22" s="268">
        <f>Assumptions!$C$69*Assumptions!$F$18/12</f>
        <v/>
      </c>
      <c r="AT22" s="268">
        <f>Assumptions!$C$69*Assumptions!$F$18/12</f>
        <v/>
      </c>
      <c r="AU22" s="268">
        <f>Assumptions!$C$69*Assumptions!$F$18/12</f>
        <v/>
      </c>
      <c r="AV22" s="268">
        <f>Assumptions!$C$69*Assumptions!$F$18/12</f>
        <v/>
      </c>
      <c r="AW22" s="268">
        <f>Assumptions!$C$69*Assumptions!$F$18/12</f>
        <v/>
      </c>
      <c r="AX22" s="268">
        <f>Assumptions!$C$69*Assumptions!$F$18/12</f>
        <v/>
      </c>
      <c r="AY22" s="268">
        <f>Assumptions!$C$69*Assumptions!$F$18/12</f>
        <v/>
      </c>
      <c r="AZ22" s="268">
        <f>Assumptions!$C$69*Assumptions!$F$18/12</f>
        <v/>
      </c>
      <c r="BA22" s="268">
        <f>SUM(AO22:AZ22)</f>
        <v/>
      </c>
      <c r="BB22" s="268">
        <f>Assumptions!$C$69*Assumptions!$G$18/12</f>
        <v/>
      </c>
      <c r="BC22" s="268">
        <f>Assumptions!$C$69*Assumptions!$G$18/12</f>
        <v/>
      </c>
      <c r="BD22" s="268">
        <f>Assumptions!$C$69*Assumptions!$G$18/12</f>
        <v/>
      </c>
      <c r="BE22" s="268">
        <f>Assumptions!$C$69*Assumptions!$G$18/12</f>
        <v/>
      </c>
      <c r="BF22" s="268">
        <f>Assumptions!$C$69*Assumptions!$G$18/12</f>
        <v/>
      </c>
      <c r="BG22" s="268">
        <f>Assumptions!$C$69*Assumptions!$G$18/12</f>
        <v/>
      </c>
      <c r="BH22" s="268">
        <f>Assumptions!$C$69*Assumptions!$G$18/12</f>
        <v/>
      </c>
      <c r="BI22" s="268">
        <f>Assumptions!$C$69*Assumptions!$G$18/12</f>
        <v/>
      </c>
      <c r="BJ22" s="268">
        <f>Assumptions!$C$69*Assumptions!$G$18/12</f>
        <v/>
      </c>
      <c r="BK22" s="268">
        <f>Assumptions!$C$69*Assumptions!$G$18/12</f>
        <v/>
      </c>
      <c r="BL22" s="268">
        <f>Assumptions!$C$69*Assumptions!$G$18/12</f>
        <v/>
      </c>
      <c r="BM22" s="268">
        <f>Assumptions!$C$69*Assumptions!$G$18/12</f>
        <v/>
      </c>
      <c r="BN22" s="268">
        <f>SUM(BB22:BM22)</f>
        <v/>
      </c>
    </row>
    <row r="23">
      <c r="A23" s="266" t="inlineStr">
        <is>
          <t>Other revenue — ₹ / unit</t>
        </is>
      </c>
      <c r="B23" s="269">
        <f>Assumptions!$D$69*(1+Assumptions!$C$24)^0</f>
        <v/>
      </c>
      <c r="C23" s="269">
        <f>Assumptions!$D$69*(1+Assumptions!$C$24)^0</f>
        <v/>
      </c>
      <c r="D23" s="269">
        <f>Assumptions!$D$69*(1+Assumptions!$C$24)^0</f>
        <v/>
      </c>
      <c r="E23" s="269">
        <f>Assumptions!$D$69*(1+Assumptions!$C$24)^0</f>
        <v/>
      </c>
      <c r="F23" s="269">
        <f>Assumptions!$D$69*(1+Assumptions!$C$24)^0</f>
        <v/>
      </c>
      <c r="G23" s="269">
        <f>Assumptions!$D$69*(1+Assumptions!$C$24)^0</f>
        <v/>
      </c>
      <c r="H23" s="269">
        <f>Assumptions!$D$69*(1+Assumptions!$C$24)^0</f>
        <v/>
      </c>
      <c r="I23" s="269">
        <f>Assumptions!$D$69*(1+Assumptions!$C$24)^0</f>
        <v/>
      </c>
      <c r="J23" s="269">
        <f>Assumptions!$D$69*(1+Assumptions!$C$24)^0</f>
        <v/>
      </c>
      <c r="K23" s="269">
        <f>Assumptions!$D$69*(1+Assumptions!$C$24)^0</f>
        <v/>
      </c>
      <c r="L23" s="269">
        <f>Assumptions!$D$69*(1+Assumptions!$C$24)^0</f>
        <v/>
      </c>
      <c r="M23" s="269">
        <f>Assumptions!$D$69*(1+Assumptions!$C$24)^0</f>
        <v/>
      </c>
      <c r="N23" s="269">
        <f>B23</f>
        <v/>
      </c>
      <c r="O23" s="269">
        <f>Assumptions!$D$69*(1+Assumptions!$C$24)^1</f>
        <v/>
      </c>
      <c r="P23" s="269">
        <f>Assumptions!$D$69*(1+Assumptions!$C$24)^1</f>
        <v/>
      </c>
      <c r="Q23" s="269">
        <f>Assumptions!$D$69*(1+Assumptions!$C$24)^1</f>
        <v/>
      </c>
      <c r="R23" s="269">
        <f>Assumptions!$D$69*(1+Assumptions!$C$24)^1</f>
        <v/>
      </c>
      <c r="S23" s="269">
        <f>Assumptions!$D$69*(1+Assumptions!$C$24)^1</f>
        <v/>
      </c>
      <c r="T23" s="269">
        <f>Assumptions!$D$69*(1+Assumptions!$C$24)^1</f>
        <v/>
      </c>
      <c r="U23" s="269">
        <f>Assumptions!$D$69*(1+Assumptions!$C$24)^1</f>
        <v/>
      </c>
      <c r="V23" s="269">
        <f>Assumptions!$D$69*(1+Assumptions!$C$24)^1</f>
        <v/>
      </c>
      <c r="W23" s="269">
        <f>Assumptions!$D$69*(1+Assumptions!$C$24)^1</f>
        <v/>
      </c>
      <c r="X23" s="269">
        <f>Assumptions!$D$69*(1+Assumptions!$C$24)^1</f>
        <v/>
      </c>
      <c r="Y23" s="269">
        <f>Assumptions!$D$69*(1+Assumptions!$C$24)^1</f>
        <v/>
      </c>
      <c r="Z23" s="269">
        <f>Assumptions!$D$69*(1+Assumptions!$C$24)^1</f>
        <v/>
      </c>
      <c r="AA23" s="269">
        <f>O23</f>
        <v/>
      </c>
      <c r="AB23" s="269">
        <f>Assumptions!$D$69*(1+Assumptions!$C$24)^2</f>
        <v/>
      </c>
      <c r="AC23" s="269">
        <f>Assumptions!$D$69*(1+Assumptions!$C$24)^2</f>
        <v/>
      </c>
      <c r="AD23" s="269">
        <f>Assumptions!$D$69*(1+Assumptions!$C$24)^2</f>
        <v/>
      </c>
      <c r="AE23" s="269">
        <f>Assumptions!$D$69*(1+Assumptions!$C$24)^2</f>
        <v/>
      </c>
      <c r="AF23" s="269">
        <f>Assumptions!$D$69*(1+Assumptions!$C$24)^2</f>
        <v/>
      </c>
      <c r="AG23" s="269">
        <f>Assumptions!$D$69*(1+Assumptions!$C$24)^2</f>
        <v/>
      </c>
      <c r="AH23" s="269">
        <f>Assumptions!$D$69*(1+Assumptions!$C$24)^2</f>
        <v/>
      </c>
      <c r="AI23" s="269">
        <f>Assumptions!$D$69*(1+Assumptions!$C$24)^2</f>
        <v/>
      </c>
      <c r="AJ23" s="269">
        <f>Assumptions!$D$69*(1+Assumptions!$C$24)^2</f>
        <v/>
      </c>
      <c r="AK23" s="269">
        <f>Assumptions!$D$69*(1+Assumptions!$C$24)^2</f>
        <v/>
      </c>
      <c r="AL23" s="269">
        <f>Assumptions!$D$69*(1+Assumptions!$C$24)^2</f>
        <v/>
      </c>
      <c r="AM23" s="269">
        <f>Assumptions!$D$69*(1+Assumptions!$C$24)^2</f>
        <v/>
      </c>
      <c r="AN23" s="269">
        <f>AB23</f>
        <v/>
      </c>
      <c r="AO23" s="269">
        <f>Assumptions!$D$69*(1+Assumptions!$C$24)^3</f>
        <v/>
      </c>
      <c r="AP23" s="269">
        <f>Assumptions!$D$69*(1+Assumptions!$C$24)^3</f>
        <v/>
      </c>
      <c r="AQ23" s="269">
        <f>Assumptions!$D$69*(1+Assumptions!$C$24)^3</f>
        <v/>
      </c>
      <c r="AR23" s="269">
        <f>Assumptions!$D$69*(1+Assumptions!$C$24)^3</f>
        <v/>
      </c>
      <c r="AS23" s="269">
        <f>Assumptions!$D$69*(1+Assumptions!$C$24)^3</f>
        <v/>
      </c>
      <c r="AT23" s="269">
        <f>Assumptions!$D$69*(1+Assumptions!$C$24)^3</f>
        <v/>
      </c>
      <c r="AU23" s="269">
        <f>Assumptions!$D$69*(1+Assumptions!$C$24)^3</f>
        <v/>
      </c>
      <c r="AV23" s="269">
        <f>Assumptions!$D$69*(1+Assumptions!$C$24)^3</f>
        <v/>
      </c>
      <c r="AW23" s="269">
        <f>Assumptions!$D$69*(1+Assumptions!$C$24)^3</f>
        <v/>
      </c>
      <c r="AX23" s="269">
        <f>Assumptions!$D$69*(1+Assumptions!$C$24)^3</f>
        <v/>
      </c>
      <c r="AY23" s="269">
        <f>Assumptions!$D$69*(1+Assumptions!$C$24)^3</f>
        <v/>
      </c>
      <c r="AZ23" s="269">
        <f>Assumptions!$D$69*(1+Assumptions!$C$24)^3</f>
        <v/>
      </c>
      <c r="BA23" s="269">
        <f>AO23</f>
        <v/>
      </c>
      <c r="BB23" s="269">
        <f>Assumptions!$D$69*(1+Assumptions!$C$24)^4</f>
        <v/>
      </c>
      <c r="BC23" s="269">
        <f>Assumptions!$D$69*(1+Assumptions!$C$24)^4</f>
        <v/>
      </c>
      <c r="BD23" s="269">
        <f>Assumptions!$D$69*(1+Assumptions!$C$24)^4</f>
        <v/>
      </c>
      <c r="BE23" s="269">
        <f>Assumptions!$D$69*(1+Assumptions!$C$24)^4</f>
        <v/>
      </c>
      <c r="BF23" s="269">
        <f>Assumptions!$D$69*(1+Assumptions!$C$24)^4</f>
        <v/>
      </c>
      <c r="BG23" s="269">
        <f>Assumptions!$D$69*(1+Assumptions!$C$24)^4</f>
        <v/>
      </c>
      <c r="BH23" s="269">
        <f>Assumptions!$D$69*(1+Assumptions!$C$24)^4</f>
        <v/>
      </c>
      <c r="BI23" s="269">
        <f>Assumptions!$D$69*(1+Assumptions!$C$24)^4</f>
        <v/>
      </c>
      <c r="BJ23" s="269">
        <f>Assumptions!$D$69*(1+Assumptions!$C$24)^4</f>
        <v/>
      </c>
      <c r="BK23" s="269">
        <f>Assumptions!$D$69*(1+Assumptions!$C$24)^4</f>
        <v/>
      </c>
      <c r="BL23" s="269">
        <f>Assumptions!$D$69*(1+Assumptions!$C$24)^4</f>
        <v/>
      </c>
      <c r="BM23" s="269">
        <f>Assumptions!$D$69*(1+Assumptions!$C$24)^4</f>
        <v/>
      </c>
      <c r="BN23" s="269">
        <f>BB23</f>
        <v/>
      </c>
    </row>
    <row r="24">
      <c r="A24" s="270" t="inlineStr">
        <is>
          <t>Other revenue</t>
        </is>
      </c>
      <c r="B24" s="271">
        <f>B22*B23</f>
        <v/>
      </c>
      <c r="C24" s="271">
        <f>C22*C23</f>
        <v/>
      </c>
      <c r="D24" s="271">
        <f>D22*D23</f>
        <v/>
      </c>
      <c r="E24" s="271">
        <f>E22*E23</f>
        <v/>
      </c>
      <c r="F24" s="271">
        <f>F22*F23</f>
        <v/>
      </c>
      <c r="G24" s="271">
        <f>G22*G23</f>
        <v/>
      </c>
      <c r="H24" s="271">
        <f>H22*H23</f>
        <v/>
      </c>
      <c r="I24" s="271">
        <f>I22*I23</f>
        <v/>
      </c>
      <c r="J24" s="271">
        <f>J22*J23</f>
        <v/>
      </c>
      <c r="K24" s="271">
        <f>K22*K23</f>
        <v/>
      </c>
      <c r="L24" s="271">
        <f>L22*L23</f>
        <v/>
      </c>
      <c r="M24" s="271">
        <f>M22*M23</f>
        <v/>
      </c>
      <c r="N24" s="271">
        <f>SUM(B24:M24)</f>
        <v/>
      </c>
      <c r="O24" s="271">
        <f>O22*O23</f>
        <v/>
      </c>
      <c r="P24" s="271">
        <f>P22*P23</f>
        <v/>
      </c>
      <c r="Q24" s="271">
        <f>Q22*Q23</f>
        <v/>
      </c>
      <c r="R24" s="271">
        <f>R22*R23</f>
        <v/>
      </c>
      <c r="S24" s="271">
        <f>S22*S23</f>
        <v/>
      </c>
      <c r="T24" s="271">
        <f>T22*T23</f>
        <v/>
      </c>
      <c r="U24" s="271">
        <f>U22*U23</f>
        <v/>
      </c>
      <c r="V24" s="271">
        <f>V22*V23</f>
        <v/>
      </c>
      <c r="W24" s="271">
        <f>W22*W23</f>
        <v/>
      </c>
      <c r="X24" s="271">
        <f>X22*X23</f>
        <v/>
      </c>
      <c r="Y24" s="271">
        <f>Y22*Y23</f>
        <v/>
      </c>
      <c r="Z24" s="271">
        <f>Z22*Z23</f>
        <v/>
      </c>
      <c r="AA24" s="271">
        <f>SUM(O24:Z24)</f>
        <v/>
      </c>
      <c r="AB24" s="271">
        <f>AB22*AB23</f>
        <v/>
      </c>
      <c r="AC24" s="271">
        <f>AC22*AC23</f>
        <v/>
      </c>
      <c r="AD24" s="271">
        <f>AD22*AD23</f>
        <v/>
      </c>
      <c r="AE24" s="271">
        <f>AE22*AE23</f>
        <v/>
      </c>
      <c r="AF24" s="271">
        <f>AF22*AF23</f>
        <v/>
      </c>
      <c r="AG24" s="271">
        <f>AG22*AG23</f>
        <v/>
      </c>
      <c r="AH24" s="271">
        <f>AH22*AH23</f>
        <v/>
      </c>
      <c r="AI24" s="271">
        <f>AI22*AI23</f>
        <v/>
      </c>
      <c r="AJ24" s="271">
        <f>AJ22*AJ23</f>
        <v/>
      </c>
      <c r="AK24" s="271">
        <f>AK22*AK23</f>
        <v/>
      </c>
      <c r="AL24" s="271">
        <f>AL22*AL23</f>
        <v/>
      </c>
      <c r="AM24" s="271">
        <f>AM22*AM23</f>
        <v/>
      </c>
      <c r="AN24" s="271">
        <f>SUM(AB24:AM24)</f>
        <v/>
      </c>
      <c r="AO24" s="271">
        <f>AO22*AO23</f>
        <v/>
      </c>
      <c r="AP24" s="271">
        <f>AP22*AP23</f>
        <v/>
      </c>
      <c r="AQ24" s="271">
        <f>AQ22*AQ23</f>
        <v/>
      </c>
      <c r="AR24" s="271">
        <f>AR22*AR23</f>
        <v/>
      </c>
      <c r="AS24" s="271">
        <f>AS22*AS23</f>
        <v/>
      </c>
      <c r="AT24" s="271">
        <f>AT22*AT23</f>
        <v/>
      </c>
      <c r="AU24" s="271">
        <f>AU22*AU23</f>
        <v/>
      </c>
      <c r="AV24" s="271">
        <f>AV22*AV23</f>
        <v/>
      </c>
      <c r="AW24" s="271">
        <f>AW22*AW23</f>
        <v/>
      </c>
      <c r="AX24" s="271">
        <f>AX22*AX23</f>
        <v/>
      </c>
      <c r="AY24" s="271">
        <f>AY22*AY23</f>
        <v/>
      </c>
      <c r="AZ24" s="271">
        <f>AZ22*AZ23</f>
        <v/>
      </c>
      <c r="BA24" s="271">
        <f>SUM(AO24:AZ24)</f>
        <v/>
      </c>
      <c r="BB24" s="271">
        <f>BB22*BB23</f>
        <v/>
      </c>
      <c r="BC24" s="271">
        <f>BC22*BC23</f>
        <v/>
      </c>
      <c r="BD24" s="271">
        <f>BD22*BD23</f>
        <v/>
      </c>
      <c r="BE24" s="271">
        <f>BE22*BE23</f>
        <v/>
      </c>
      <c r="BF24" s="271">
        <f>BF22*BF23</f>
        <v/>
      </c>
      <c r="BG24" s="271">
        <f>BG22*BG23</f>
        <v/>
      </c>
      <c r="BH24" s="271">
        <f>BH22*BH23</f>
        <v/>
      </c>
      <c r="BI24" s="271">
        <f>BI22*BI23</f>
        <v/>
      </c>
      <c r="BJ24" s="271">
        <f>BJ22*BJ23</f>
        <v/>
      </c>
      <c r="BK24" s="271">
        <f>BK22*BK23</f>
        <v/>
      </c>
      <c r="BL24" s="271">
        <f>BL22*BL23</f>
        <v/>
      </c>
      <c r="BM24" s="271">
        <f>BM22*BM23</f>
        <v/>
      </c>
      <c r="BN24" s="271">
        <f>SUM(BB24:BM24)</f>
        <v/>
      </c>
    </row>
    <row r="26">
      <c r="A26" s="272" t="inlineStr">
        <is>
          <t>TOTAL REVENUE</t>
        </is>
      </c>
      <c r="B26" s="273">
        <f>B8+B12+B16+B20+B24</f>
        <v/>
      </c>
      <c r="C26" s="273">
        <f>C8+C12+C16+C20+C24</f>
        <v/>
      </c>
      <c r="D26" s="273">
        <f>D8+D12+D16+D20+D24</f>
        <v/>
      </c>
      <c r="E26" s="273">
        <f>E8+E12+E16+E20+E24</f>
        <v/>
      </c>
      <c r="F26" s="273">
        <f>F8+F12+F16+F20+F24</f>
        <v/>
      </c>
      <c r="G26" s="273">
        <f>G8+G12+G16+G20+G24</f>
        <v/>
      </c>
      <c r="H26" s="273">
        <f>H8+H12+H16+H20+H24</f>
        <v/>
      </c>
      <c r="I26" s="273">
        <f>I8+I12+I16+I20+I24</f>
        <v/>
      </c>
      <c r="J26" s="273">
        <f>J8+J12+J16+J20+J24</f>
        <v/>
      </c>
      <c r="K26" s="273">
        <f>K8+K12+K16+K20+K24</f>
        <v/>
      </c>
      <c r="L26" s="273">
        <f>L8+L12+L16+L20+L24</f>
        <v/>
      </c>
      <c r="M26" s="273">
        <f>M8+M12+M16+M20+M24</f>
        <v/>
      </c>
      <c r="N26" s="273">
        <f>SUM(B26:M26)</f>
        <v/>
      </c>
      <c r="O26" s="273">
        <f>O8+O12+O16+O20+O24</f>
        <v/>
      </c>
      <c r="P26" s="273">
        <f>P8+P12+P16+P20+P24</f>
        <v/>
      </c>
      <c r="Q26" s="273">
        <f>Q8+Q12+Q16+Q20+Q24</f>
        <v/>
      </c>
      <c r="R26" s="273">
        <f>R8+R12+R16+R20+R24</f>
        <v/>
      </c>
      <c r="S26" s="273">
        <f>S8+S12+S16+S20+S24</f>
        <v/>
      </c>
      <c r="T26" s="273">
        <f>T8+T12+T16+T20+T24</f>
        <v/>
      </c>
      <c r="U26" s="273">
        <f>U8+U12+U16+U20+U24</f>
        <v/>
      </c>
      <c r="V26" s="273">
        <f>V8+V12+V16+V20+V24</f>
        <v/>
      </c>
      <c r="W26" s="273">
        <f>W8+W12+W16+W20+W24</f>
        <v/>
      </c>
      <c r="X26" s="273">
        <f>X8+X12+X16+X20+X24</f>
        <v/>
      </c>
      <c r="Y26" s="273">
        <f>Y8+Y12+Y16+Y20+Y24</f>
        <v/>
      </c>
      <c r="Z26" s="273">
        <f>Z8+Z12+Z16+Z20+Z24</f>
        <v/>
      </c>
      <c r="AA26" s="273">
        <f>SUM(O26:Z26)</f>
        <v/>
      </c>
      <c r="AB26" s="273">
        <f>AB8+AB12+AB16+AB20+AB24</f>
        <v/>
      </c>
      <c r="AC26" s="273">
        <f>AC8+AC12+AC16+AC20+AC24</f>
        <v/>
      </c>
      <c r="AD26" s="273">
        <f>AD8+AD12+AD16+AD20+AD24</f>
        <v/>
      </c>
      <c r="AE26" s="273">
        <f>AE8+AE12+AE16+AE20+AE24</f>
        <v/>
      </c>
      <c r="AF26" s="273">
        <f>AF8+AF12+AF16+AF20+AF24</f>
        <v/>
      </c>
      <c r="AG26" s="273">
        <f>AG8+AG12+AG16+AG20+AG24</f>
        <v/>
      </c>
      <c r="AH26" s="273">
        <f>AH8+AH12+AH16+AH20+AH24</f>
        <v/>
      </c>
      <c r="AI26" s="273">
        <f>AI8+AI12+AI16+AI20+AI24</f>
        <v/>
      </c>
      <c r="AJ26" s="273">
        <f>AJ8+AJ12+AJ16+AJ20+AJ24</f>
        <v/>
      </c>
      <c r="AK26" s="273">
        <f>AK8+AK12+AK16+AK20+AK24</f>
        <v/>
      </c>
      <c r="AL26" s="273">
        <f>AL8+AL12+AL16+AL20+AL24</f>
        <v/>
      </c>
      <c r="AM26" s="273">
        <f>AM8+AM12+AM16+AM20+AM24</f>
        <v/>
      </c>
      <c r="AN26" s="273">
        <f>SUM(AB26:AM26)</f>
        <v/>
      </c>
      <c r="AO26" s="273">
        <f>AO8+AO12+AO16+AO20+AO24</f>
        <v/>
      </c>
      <c r="AP26" s="273">
        <f>AP8+AP12+AP16+AP20+AP24</f>
        <v/>
      </c>
      <c r="AQ26" s="273">
        <f>AQ8+AQ12+AQ16+AQ20+AQ24</f>
        <v/>
      </c>
      <c r="AR26" s="273">
        <f>AR8+AR12+AR16+AR20+AR24</f>
        <v/>
      </c>
      <c r="AS26" s="273">
        <f>AS8+AS12+AS16+AS20+AS24</f>
        <v/>
      </c>
      <c r="AT26" s="273">
        <f>AT8+AT12+AT16+AT20+AT24</f>
        <v/>
      </c>
      <c r="AU26" s="273">
        <f>AU8+AU12+AU16+AU20+AU24</f>
        <v/>
      </c>
      <c r="AV26" s="273">
        <f>AV8+AV12+AV16+AV20+AV24</f>
        <v/>
      </c>
      <c r="AW26" s="273">
        <f>AW8+AW12+AW16+AW20+AW24</f>
        <v/>
      </c>
      <c r="AX26" s="273">
        <f>AX8+AX12+AX16+AX20+AX24</f>
        <v/>
      </c>
      <c r="AY26" s="273">
        <f>AY8+AY12+AY16+AY20+AY24</f>
        <v/>
      </c>
      <c r="AZ26" s="273">
        <f>AZ8+AZ12+AZ16+AZ20+AZ24</f>
        <v/>
      </c>
      <c r="BA26" s="273">
        <f>SUM(AO26:AZ26)</f>
        <v/>
      </c>
      <c r="BB26" s="273">
        <f>BB8+BB12+BB16+BB20+BB24</f>
        <v/>
      </c>
      <c r="BC26" s="273">
        <f>BC8+BC12+BC16+BC20+BC24</f>
        <v/>
      </c>
      <c r="BD26" s="273">
        <f>BD8+BD12+BD16+BD20+BD24</f>
        <v/>
      </c>
      <c r="BE26" s="273">
        <f>BE8+BE12+BE16+BE20+BE24</f>
        <v/>
      </c>
      <c r="BF26" s="273">
        <f>BF8+BF12+BF16+BF20+BF24</f>
        <v/>
      </c>
      <c r="BG26" s="273">
        <f>BG8+BG12+BG16+BG20+BG24</f>
        <v/>
      </c>
      <c r="BH26" s="273">
        <f>BH8+BH12+BH16+BH20+BH24</f>
        <v/>
      </c>
      <c r="BI26" s="273">
        <f>BI8+BI12+BI16+BI20+BI24</f>
        <v/>
      </c>
      <c r="BJ26" s="273">
        <f>BJ8+BJ12+BJ16+BJ20+BJ24</f>
        <v/>
      </c>
      <c r="BK26" s="273">
        <f>BK8+BK12+BK16+BK20+BK24</f>
        <v/>
      </c>
      <c r="BL26" s="273">
        <f>BL8+BL12+BL16+BL20+BL24</f>
        <v/>
      </c>
      <c r="BM26" s="273">
        <f>BM8+BM12+BM16+BM20+BM24</f>
        <v/>
      </c>
      <c r="BN26" s="273">
        <f>SUM(BB26:BM26)</f>
        <v/>
      </c>
    </row>
    <row r="28">
      <c r="A28" s="274" t="inlineStr">
        <is>
          <t>REVENUE BY TARGET MARKET SEGMENT  (₹)</t>
        </is>
      </c>
      <c r="B28" s="275" t="n"/>
      <c r="C28" s="275" t="n"/>
      <c r="D28" s="275" t="n"/>
      <c r="E28" s="275" t="n"/>
      <c r="F28" s="275" t="n"/>
      <c r="G28" s="275" t="n"/>
      <c r="H28" s="275" t="n"/>
      <c r="I28" s="275" t="n"/>
      <c r="J28" s="275" t="n"/>
      <c r="K28" s="275" t="n"/>
      <c r="L28" s="275" t="n"/>
      <c r="M28" s="275" t="n"/>
      <c r="N28" s="275" t="n"/>
      <c r="O28" s="275" t="n"/>
      <c r="P28" s="275" t="n"/>
      <c r="Q28" s="275" t="n"/>
      <c r="R28" s="275" t="n"/>
      <c r="S28" s="275" t="n"/>
      <c r="T28" s="275" t="n"/>
      <c r="U28" s="275" t="n"/>
      <c r="V28" s="275" t="n"/>
      <c r="W28" s="275" t="n"/>
      <c r="X28" s="275" t="n"/>
      <c r="Y28" s="275" t="n"/>
      <c r="Z28" s="275" t="n"/>
      <c r="AA28" s="275" t="n"/>
      <c r="AB28" s="275" t="n"/>
      <c r="AC28" s="275" t="n"/>
      <c r="AD28" s="275" t="n"/>
      <c r="AE28" s="275" t="n"/>
      <c r="AF28" s="275" t="n"/>
      <c r="AG28" s="275" t="n"/>
      <c r="AH28" s="275" t="n"/>
      <c r="AI28" s="275" t="n"/>
      <c r="AJ28" s="275" t="n"/>
      <c r="AK28" s="275" t="n"/>
      <c r="AL28" s="275" t="n"/>
      <c r="AM28" s="275" t="n"/>
      <c r="AN28" s="275" t="n"/>
      <c r="AO28" s="275" t="n"/>
      <c r="AP28" s="275" t="n"/>
      <c r="AQ28" s="275" t="n"/>
      <c r="AR28" s="275" t="n"/>
      <c r="AS28" s="275" t="n"/>
      <c r="AT28" s="275" t="n"/>
      <c r="AU28" s="275" t="n"/>
      <c r="AV28" s="275" t="n"/>
      <c r="AW28" s="275" t="n"/>
      <c r="AX28" s="275" t="n"/>
      <c r="AY28" s="275" t="n"/>
      <c r="AZ28" s="275" t="n"/>
      <c r="BA28" s="275" t="n"/>
      <c r="BB28" s="275" t="n"/>
      <c r="BC28" s="275" t="n"/>
      <c r="BD28" s="275" t="n"/>
      <c r="BE28" s="275" t="n"/>
      <c r="BF28" s="275" t="n"/>
      <c r="BG28" s="275" t="n"/>
      <c r="BH28" s="275" t="n"/>
      <c r="BI28" s="275" t="n"/>
      <c r="BJ28" s="275" t="n"/>
      <c r="BK28" s="275" t="n"/>
      <c r="BL28" s="275" t="n"/>
      <c r="BM28" s="275" t="n"/>
      <c r="BN28" s="275" t="n"/>
    </row>
    <row r="29">
      <c r="A29" s="266">
        <f>IF(Assumptions!$C$58="","",Assumptions!$C$58)</f>
        <v/>
      </c>
      <c r="B29" s="268">
        <f>IF(Assumptions!$C$58="","",IFERROR(B26*Assumptions!$D$58,0))</f>
        <v/>
      </c>
      <c r="C29" s="268">
        <f>IF(Assumptions!$C$58="","",IFERROR(C26*Assumptions!$D$58,0))</f>
        <v/>
      </c>
      <c r="D29" s="268">
        <f>IF(Assumptions!$C$58="","",IFERROR(D26*Assumptions!$D$58,0))</f>
        <v/>
      </c>
      <c r="E29" s="268">
        <f>IF(Assumptions!$C$58="","",IFERROR(E26*Assumptions!$D$58,0))</f>
        <v/>
      </c>
      <c r="F29" s="268">
        <f>IF(Assumptions!$C$58="","",IFERROR(F26*Assumptions!$D$58,0))</f>
        <v/>
      </c>
      <c r="G29" s="268">
        <f>IF(Assumptions!$C$58="","",IFERROR(G26*Assumptions!$D$58,0))</f>
        <v/>
      </c>
      <c r="H29" s="268">
        <f>IF(Assumptions!$C$58="","",IFERROR(H26*Assumptions!$D$58,0))</f>
        <v/>
      </c>
      <c r="I29" s="268">
        <f>IF(Assumptions!$C$58="","",IFERROR(I26*Assumptions!$D$58,0))</f>
        <v/>
      </c>
      <c r="J29" s="268">
        <f>IF(Assumptions!$C$58="","",IFERROR(J26*Assumptions!$D$58,0))</f>
        <v/>
      </c>
      <c r="K29" s="268">
        <f>IF(Assumptions!$C$58="","",IFERROR(K26*Assumptions!$D$58,0))</f>
        <v/>
      </c>
      <c r="L29" s="268">
        <f>IF(Assumptions!$C$58="","",IFERROR(L26*Assumptions!$D$58,0))</f>
        <v/>
      </c>
      <c r="M29" s="268">
        <f>IF(Assumptions!$C$58="","",IFERROR(M26*Assumptions!$D$58,0))</f>
        <v/>
      </c>
      <c r="N29" s="268">
        <f>SUM(B29:M29)</f>
        <v/>
      </c>
      <c r="O29" s="268">
        <f>IF(Assumptions!$C$58="","",IFERROR(O26*Assumptions!$D$58,0))</f>
        <v/>
      </c>
      <c r="P29" s="268">
        <f>IF(Assumptions!$C$58="","",IFERROR(P26*Assumptions!$D$58,0))</f>
        <v/>
      </c>
      <c r="Q29" s="268">
        <f>IF(Assumptions!$C$58="","",IFERROR(Q26*Assumptions!$D$58,0))</f>
        <v/>
      </c>
      <c r="R29" s="268">
        <f>IF(Assumptions!$C$58="","",IFERROR(R26*Assumptions!$D$58,0))</f>
        <v/>
      </c>
      <c r="S29" s="268">
        <f>IF(Assumptions!$C$58="","",IFERROR(S26*Assumptions!$D$58,0))</f>
        <v/>
      </c>
      <c r="T29" s="268">
        <f>IF(Assumptions!$C$58="","",IFERROR(T26*Assumptions!$D$58,0))</f>
        <v/>
      </c>
      <c r="U29" s="268">
        <f>IF(Assumptions!$C$58="","",IFERROR(U26*Assumptions!$D$58,0))</f>
        <v/>
      </c>
      <c r="V29" s="268">
        <f>IF(Assumptions!$C$58="","",IFERROR(V26*Assumptions!$D$58,0))</f>
        <v/>
      </c>
      <c r="W29" s="268">
        <f>IF(Assumptions!$C$58="","",IFERROR(W26*Assumptions!$D$58,0))</f>
        <v/>
      </c>
      <c r="X29" s="268">
        <f>IF(Assumptions!$C$58="","",IFERROR(X26*Assumptions!$D$58,0))</f>
        <v/>
      </c>
      <c r="Y29" s="268">
        <f>IF(Assumptions!$C$58="","",IFERROR(Y26*Assumptions!$D$58,0))</f>
        <v/>
      </c>
      <c r="Z29" s="268">
        <f>IF(Assumptions!$C$58="","",IFERROR(Z26*Assumptions!$D$58,0))</f>
        <v/>
      </c>
      <c r="AA29" s="268">
        <f>SUM(O29:Z29)</f>
        <v/>
      </c>
      <c r="AB29" s="268">
        <f>IF(Assumptions!$C$58="","",IFERROR(AB26*Assumptions!$D$58,0))</f>
        <v/>
      </c>
      <c r="AC29" s="268">
        <f>IF(Assumptions!$C$58="","",IFERROR(AC26*Assumptions!$D$58,0))</f>
        <v/>
      </c>
      <c r="AD29" s="268">
        <f>IF(Assumptions!$C$58="","",IFERROR(AD26*Assumptions!$D$58,0))</f>
        <v/>
      </c>
      <c r="AE29" s="268">
        <f>IF(Assumptions!$C$58="","",IFERROR(AE26*Assumptions!$D$58,0))</f>
        <v/>
      </c>
      <c r="AF29" s="268">
        <f>IF(Assumptions!$C$58="","",IFERROR(AF26*Assumptions!$D$58,0))</f>
        <v/>
      </c>
      <c r="AG29" s="268">
        <f>IF(Assumptions!$C$58="","",IFERROR(AG26*Assumptions!$D$58,0))</f>
        <v/>
      </c>
      <c r="AH29" s="268">
        <f>IF(Assumptions!$C$58="","",IFERROR(AH26*Assumptions!$D$58,0))</f>
        <v/>
      </c>
      <c r="AI29" s="268">
        <f>IF(Assumptions!$C$58="","",IFERROR(AI26*Assumptions!$D$58,0))</f>
        <v/>
      </c>
      <c r="AJ29" s="268">
        <f>IF(Assumptions!$C$58="","",IFERROR(AJ26*Assumptions!$D$58,0))</f>
        <v/>
      </c>
      <c r="AK29" s="268">
        <f>IF(Assumptions!$C$58="","",IFERROR(AK26*Assumptions!$D$58,0))</f>
        <v/>
      </c>
      <c r="AL29" s="268">
        <f>IF(Assumptions!$C$58="","",IFERROR(AL26*Assumptions!$D$58,0))</f>
        <v/>
      </c>
      <c r="AM29" s="268">
        <f>IF(Assumptions!$C$58="","",IFERROR(AM26*Assumptions!$D$58,0))</f>
        <v/>
      </c>
      <c r="AN29" s="268">
        <f>SUM(AB29:AM29)</f>
        <v/>
      </c>
      <c r="AO29" s="268">
        <f>IF(Assumptions!$C$58="","",IFERROR(AO26*Assumptions!$D$58,0))</f>
        <v/>
      </c>
      <c r="AP29" s="268">
        <f>IF(Assumptions!$C$58="","",IFERROR(AP26*Assumptions!$D$58,0))</f>
        <v/>
      </c>
      <c r="AQ29" s="268">
        <f>IF(Assumptions!$C$58="","",IFERROR(AQ26*Assumptions!$D$58,0))</f>
        <v/>
      </c>
      <c r="AR29" s="268">
        <f>IF(Assumptions!$C$58="","",IFERROR(AR26*Assumptions!$D$58,0))</f>
        <v/>
      </c>
      <c r="AS29" s="268">
        <f>IF(Assumptions!$C$58="","",IFERROR(AS26*Assumptions!$D$58,0))</f>
        <v/>
      </c>
      <c r="AT29" s="268">
        <f>IF(Assumptions!$C$58="","",IFERROR(AT26*Assumptions!$D$58,0))</f>
        <v/>
      </c>
      <c r="AU29" s="268">
        <f>IF(Assumptions!$C$58="","",IFERROR(AU26*Assumptions!$D$58,0))</f>
        <v/>
      </c>
      <c r="AV29" s="268">
        <f>IF(Assumptions!$C$58="","",IFERROR(AV26*Assumptions!$D$58,0))</f>
        <v/>
      </c>
      <c r="AW29" s="268">
        <f>IF(Assumptions!$C$58="","",IFERROR(AW26*Assumptions!$D$58,0))</f>
        <v/>
      </c>
      <c r="AX29" s="268">
        <f>IF(Assumptions!$C$58="","",IFERROR(AX26*Assumptions!$D$58,0))</f>
        <v/>
      </c>
      <c r="AY29" s="268">
        <f>IF(Assumptions!$C$58="","",IFERROR(AY26*Assumptions!$D$58,0))</f>
        <v/>
      </c>
      <c r="AZ29" s="268">
        <f>IF(Assumptions!$C$58="","",IFERROR(AZ26*Assumptions!$D$58,0))</f>
        <v/>
      </c>
      <c r="BA29" s="268">
        <f>SUM(AO29:AZ29)</f>
        <v/>
      </c>
      <c r="BB29" s="268">
        <f>IF(Assumptions!$C$58="","",IFERROR(BB26*Assumptions!$D$58,0))</f>
        <v/>
      </c>
      <c r="BC29" s="268">
        <f>IF(Assumptions!$C$58="","",IFERROR(BC26*Assumptions!$D$58,0))</f>
        <v/>
      </c>
      <c r="BD29" s="268">
        <f>IF(Assumptions!$C$58="","",IFERROR(BD26*Assumptions!$D$58,0))</f>
        <v/>
      </c>
      <c r="BE29" s="268">
        <f>IF(Assumptions!$C$58="","",IFERROR(BE26*Assumptions!$D$58,0))</f>
        <v/>
      </c>
      <c r="BF29" s="268">
        <f>IF(Assumptions!$C$58="","",IFERROR(BF26*Assumptions!$D$58,0))</f>
        <v/>
      </c>
      <c r="BG29" s="268">
        <f>IF(Assumptions!$C$58="","",IFERROR(BG26*Assumptions!$D$58,0))</f>
        <v/>
      </c>
      <c r="BH29" s="268">
        <f>IF(Assumptions!$C$58="","",IFERROR(BH26*Assumptions!$D$58,0))</f>
        <v/>
      </c>
      <c r="BI29" s="268">
        <f>IF(Assumptions!$C$58="","",IFERROR(BI26*Assumptions!$D$58,0))</f>
        <v/>
      </c>
      <c r="BJ29" s="268">
        <f>IF(Assumptions!$C$58="","",IFERROR(BJ26*Assumptions!$D$58,0))</f>
        <v/>
      </c>
      <c r="BK29" s="268">
        <f>IF(Assumptions!$C$58="","",IFERROR(BK26*Assumptions!$D$58,0))</f>
        <v/>
      </c>
      <c r="BL29" s="268">
        <f>IF(Assumptions!$C$58="","",IFERROR(BL26*Assumptions!$D$58,0))</f>
        <v/>
      </c>
      <c r="BM29" s="268">
        <f>IF(Assumptions!$C$58="","",IFERROR(BM26*Assumptions!$D$58,0))</f>
        <v/>
      </c>
      <c r="BN29" s="268">
        <f>SUM(BB29:BM29)</f>
        <v/>
      </c>
    </row>
    <row r="30">
      <c r="A30" s="266">
        <f>IF(Assumptions!$C$59="","",Assumptions!$C$59)</f>
        <v/>
      </c>
      <c r="B30" s="268">
        <f>IF(Assumptions!$C$59="","",IFERROR(B26*Assumptions!$D$59,0))</f>
        <v/>
      </c>
      <c r="C30" s="268">
        <f>IF(Assumptions!$C$59="","",IFERROR(C26*Assumptions!$D$59,0))</f>
        <v/>
      </c>
      <c r="D30" s="268">
        <f>IF(Assumptions!$C$59="","",IFERROR(D26*Assumptions!$D$59,0))</f>
        <v/>
      </c>
      <c r="E30" s="268">
        <f>IF(Assumptions!$C$59="","",IFERROR(E26*Assumptions!$D$59,0))</f>
        <v/>
      </c>
      <c r="F30" s="268">
        <f>IF(Assumptions!$C$59="","",IFERROR(F26*Assumptions!$D$59,0))</f>
        <v/>
      </c>
      <c r="G30" s="268">
        <f>IF(Assumptions!$C$59="","",IFERROR(G26*Assumptions!$D$59,0))</f>
        <v/>
      </c>
      <c r="H30" s="268">
        <f>IF(Assumptions!$C$59="","",IFERROR(H26*Assumptions!$D$59,0))</f>
        <v/>
      </c>
      <c r="I30" s="268">
        <f>IF(Assumptions!$C$59="","",IFERROR(I26*Assumptions!$D$59,0))</f>
        <v/>
      </c>
      <c r="J30" s="268">
        <f>IF(Assumptions!$C$59="","",IFERROR(J26*Assumptions!$D$59,0))</f>
        <v/>
      </c>
      <c r="K30" s="268">
        <f>IF(Assumptions!$C$59="","",IFERROR(K26*Assumptions!$D$59,0))</f>
        <v/>
      </c>
      <c r="L30" s="268">
        <f>IF(Assumptions!$C$59="","",IFERROR(L26*Assumptions!$D$59,0))</f>
        <v/>
      </c>
      <c r="M30" s="268">
        <f>IF(Assumptions!$C$59="","",IFERROR(M26*Assumptions!$D$59,0))</f>
        <v/>
      </c>
      <c r="N30" s="268">
        <f>SUM(B30:M30)</f>
        <v/>
      </c>
      <c r="O30" s="268">
        <f>IF(Assumptions!$C$59="","",IFERROR(O26*Assumptions!$D$59,0))</f>
        <v/>
      </c>
      <c r="P30" s="268">
        <f>IF(Assumptions!$C$59="","",IFERROR(P26*Assumptions!$D$59,0))</f>
        <v/>
      </c>
      <c r="Q30" s="268">
        <f>IF(Assumptions!$C$59="","",IFERROR(Q26*Assumptions!$D$59,0))</f>
        <v/>
      </c>
      <c r="R30" s="268">
        <f>IF(Assumptions!$C$59="","",IFERROR(R26*Assumptions!$D$59,0))</f>
        <v/>
      </c>
      <c r="S30" s="268">
        <f>IF(Assumptions!$C$59="","",IFERROR(S26*Assumptions!$D$59,0))</f>
        <v/>
      </c>
      <c r="T30" s="268">
        <f>IF(Assumptions!$C$59="","",IFERROR(T26*Assumptions!$D$59,0))</f>
        <v/>
      </c>
      <c r="U30" s="268">
        <f>IF(Assumptions!$C$59="","",IFERROR(U26*Assumptions!$D$59,0))</f>
        <v/>
      </c>
      <c r="V30" s="268">
        <f>IF(Assumptions!$C$59="","",IFERROR(V26*Assumptions!$D$59,0))</f>
        <v/>
      </c>
      <c r="W30" s="268">
        <f>IF(Assumptions!$C$59="","",IFERROR(W26*Assumptions!$D$59,0))</f>
        <v/>
      </c>
      <c r="X30" s="268">
        <f>IF(Assumptions!$C$59="","",IFERROR(X26*Assumptions!$D$59,0))</f>
        <v/>
      </c>
      <c r="Y30" s="268">
        <f>IF(Assumptions!$C$59="","",IFERROR(Y26*Assumptions!$D$59,0))</f>
        <v/>
      </c>
      <c r="Z30" s="268">
        <f>IF(Assumptions!$C$59="","",IFERROR(Z26*Assumptions!$D$59,0))</f>
        <v/>
      </c>
      <c r="AA30" s="268">
        <f>SUM(O30:Z30)</f>
        <v/>
      </c>
      <c r="AB30" s="268">
        <f>IF(Assumptions!$C$59="","",IFERROR(AB26*Assumptions!$D$59,0))</f>
        <v/>
      </c>
      <c r="AC30" s="268">
        <f>IF(Assumptions!$C$59="","",IFERROR(AC26*Assumptions!$D$59,0))</f>
        <v/>
      </c>
      <c r="AD30" s="268">
        <f>IF(Assumptions!$C$59="","",IFERROR(AD26*Assumptions!$D$59,0))</f>
        <v/>
      </c>
      <c r="AE30" s="268">
        <f>IF(Assumptions!$C$59="","",IFERROR(AE26*Assumptions!$D$59,0))</f>
        <v/>
      </c>
      <c r="AF30" s="268">
        <f>IF(Assumptions!$C$59="","",IFERROR(AF26*Assumptions!$D$59,0))</f>
        <v/>
      </c>
      <c r="AG30" s="268">
        <f>IF(Assumptions!$C$59="","",IFERROR(AG26*Assumptions!$D$59,0))</f>
        <v/>
      </c>
      <c r="AH30" s="268">
        <f>IF(Assumptions!$C$59="","",IFERROR(AH26*Assumptions!$D$59,0))</f>
        <v/>
      </c>
      <c r="AI30" s="268">
        <f>IF(Assumptions!$C$59="","",IFERROR(AI26*Assumptions!$D$59,0))</f>
        <v/>
      </c>
      <c r="AJ30" s="268">
        <f>IF(Assumptions!$C$59="","",IFERROR(AJ26*Assumptions!$D$59,0))</f>
        <v/>
      </c>
      <c r="AK30" s="268">
        <f>IF(Assumptions!$C$59="","",IFERROR(AK26*Assumptions!$D$59,0))</f>
        <v/>
      </c>
      <c r="AL30" s="268">
        <f>IF(Assumptions!$C$59="","",IFERROR(AL26*Assumptions!$D$59,0))</f>
        <v/>
      </c>
      <c r="AM30" s="268">
        <f>IF(Assumptions!$C$59="","",IFERROR(AM26*Assumptions!$D$59,0))</f>
        <v/>
      </c>
      <c r="AN30" s="268">
        <f>SUM(AB30:AM30)</f>
        <v/>
      </c>
      <c r="AO30" s="268">
        <f>IF(Assumptions!$C$59="","",IFERROR(AO26*Assumptions!$D$59,0))</f>
        <v/>
      </c>
      <c r="AP30" s="268">
        <f>IF(Assumptions!$C$59="","",IFERROR(AP26*Assumptions!$D$59,0))</f>
        <v/>
      </c>
      <c r="AQ30" s="268">
        <f>IF(Assumptions!$C$59="","",IFERROR(AQ26*Assumptions!$D$59,0))</f>
        <v/>
      </c>
      <c r="AR30" s="268">
        <f>IF(Assumptions!$C$59="","",IFERROR(AR26*Assumptions!$D$59,0))</f>
        <v/>
      </c>
      <c r="AS30" s="268">
        <f>IF(Assumptions!$C$59="","",IFERROR(AS26*Assumptions!$D$59,0))</f>
        <v/>
      </c>
      <c r="AT30" s="268">
        <f>IF(Assumptions!$C$59="","",IFERROR(AT26*Assumptions!$D$59,0))</f>
        <v/>
      </c>
      <c r="AU30" s="268">
        <f>IF(Assumptions!$C$59="","",IFERROR(AU26*Assumptions!$D$59,0))</f>
        <v/>
      </c>
      <c r="AV30" s="268">
        <f>IF(Assumptions!$C$59="","",IFERROR(AV26*Assumptions!$D$59,0))</f>
        <v/>
      </c>
      <c r="AW30" s="268">
        <f>IF(Assumptions!$C$59="","",IFERROR(AW26*Assumptions!$D$59,0))</f>
        <v/>
      </c>
      <c r="AX30" s="268">
        <f>IF(Assumptions!$C$59="","",IFERROR(AX26*Assumptions!$D$59,0))</f>
        <v/>
      </c>
      <c r="AY30" s="268">
        <f>IF(Assumptions!$C$59="","",IFERROR(AY26*Assumptions!$D$59,0))</f>
        <v/>
      </c>
      <c r="AZ30" s="268">
        <f>IF(Assumptions!$C$59="","",IFERROR(AZ26*Assumptions!$D$59,0))</f>
        <v/>
      </c>
      <c r="BA30" s="268">
        <f>SUM(AO30:AZ30)</f>
        <v/>
      </c>
      <c r="BB30" s="268">
        <f>IF(Assumptions!$C$59="","",IFERROR(BB26*Assumptions!$D$59,0))</f>
        <v/>
      </c>
      <c r="BC30" s="268">
        <f>IF(Assumptions!$C$59="","",IFERROR(BC26*Assumptions!$D$59,0))</f>
        <v/>
      </c>
      <c r="BD30" s="268">
        <f>IF(Assumptions!$C$59="","",IFERROR(BD26*Assumptions!$D$59,0))</f>
        <v/>
      </c>
      <c r="BE30" s="268">
        <f>IF(Assumptions!$C$59="","",IFERROR(BE26*Assumptions!$D$59,0))</f>
        <v/>
      </c>
      <c r="BF30" s="268">
        <f>IF(Assumptions!$C$59="","",IFERROR(BF26*Assumptions!$D$59,0))</f>
        <v/>
      </c>
      <c r="BG30" s="268">
        <f>IF(Assumptions!$C$59="","",IFERROR(BG26*Assumptions!$D$59,0))</f>
        <v/>
      </c>
      <c r="BH30" s="268">
        <f>IF(Assumptions!$C$59="","",IFERROR(BH26*Assumptions!$D$59,0))</f>
        <v/>
      </c>
      <c r="BI30" s="268">
        <f>IF(Assumptions!$C$59="","",IFERROR(BI26*Assumptions!$D$59,0))</f>
        <v/>
      </c>
      <c r="BJ30" s="268">
        <f>IF(Assumptions!$C$59="","",IFERROR(BJ26*Assumptions!$D$59,0))</f>
        <v/>
      </c>
      <c r="BK30" s="268">
        <f>IF(Assumptions!$C$59="","",IFERROR(BK26*Assumptions!$D$59,0))</f>
        <v/>
      </c>
      <c r="BL30" s="268">
        <f>IF(Assumptions!$C$59="","",IFERROR(BL26*Assumptions!$D$59,0))</f>
        <v/>
      </c>
      <c r="BM30" s="268">
        <f>IF(Assumptions!$C$59="","",IFERROR(BM26*Assumptions!$D$59,0))</f>
        <v/>
      </c>
      <c r="BN30" s="268">
        <f>SUM(BB30:BM30)</f>
        <v/>
      </c>
    </row>
    <row r="31">
      <c r="A31" s="266">
        <f>IF(Assumptions!$C$60="","",Assumptions!$C$60)</f>
        <v/>
      </c>
      <c r="B31" s="268">
        <f>IF(Assumptions!$C$60="","",IFERROR(B26*Assumptions!$D$60,0))</f>
        <v/>
      </c>
      <c r="C31" s="268">
        <f>IF(Assumptions!$C$60="","",IFERROR(C26*Assumptions!$D$60,0))</f>
        <v/>
      </c>
      <c r="D31" s="268">
        <f>IF(Assumptions!$C$60="","",IFERROR(D26*Assumptions!$D$60,0))</f>
        <v/>
      </c>
      <c r="E31" s="268">
        <f>IF(Assumptions!$C$60="","",IFERROR(E26*Assumptions!$D$60,0))</f>
        <v/>
      </c>
      <c r="F31" s="268">
        <f>IF(Assumptions!$C$60="","",IFERROR(F26*Assumptions!$D$60,0))</f>
        <v/>
      </c>
      <c r="G31" s="268">
        <f>IF(Assumptions!$C$60="","",IFERROR(G26*Assumptions!$D$60,0))</f>
        <v/>
      </c>
      <c r="H31" s="268">
        <f>IF(Assumptions!$C$60="","",IFERROR(H26*Assumptions!$D$60,0))</f>
        <v/>
      </c>
      <c r="I31" s="268">
        <f>IF(Assumptions!$C$60="","",IFERROR(I26*Assumptions!$D$60,0))</f>
        <v/>
      </c>
      <c r="J31" s="268">
        <f>IF(Assumptions!$C$60="","",IFERROR(J26*Assumptions!$D$60,0))</f>
        <v/>
      </c>
      <c r="K31" s="268">
        <f>IF(Assumptions!$C$60="","",IFERROR(K26*Assumptions!$D$60,0))</f>
        <v/>
      </c>
      <c r="L31" s="268">
        <f>IF(Assumptions!$C$60="","",IFERROR(L26*Assumptions!$D$60,0))</f>
        <v/>
      </c>
      <c r="M31" s="268">
        <f>IF(Assumptions!$C$60="","",IFERROR(M26*Assumptions!$D$60,0))</f>
        <v/>
      </c>
      <c r="N31" s="268">
        <f>SUM(B31:M31)</f>
        <v/>
      </c>
      <c r="O31" s="268">
        <f>IF(Assumptions!$C$60="","",IFERROR(O26*Assumptions!$D$60,0))</f>
        <v/>
      </c>
      <c r="P31" s="268">
        <f>IF(Assumptions!$C$60="","",IFERROR(P26*Assumptions!$D$60,0))</f>
        <v/>
      </c>
      <c r="Q31" s="268">
        <f>IF(Assumptions!$C$60="","",IFERROR(Q26*Assumptions!$D$60,0))</f>
        <v/>
      </c>
      <c r="R31" s="268">
        <f>IF(Assumptions!$C$60="","",IFERROR(R26*Assumptions!$D$60,0))</f>
        <v/>
      </c>
      <c r="S31" s="268">
        <f>IF(Assumptions!$C$60="","",IFERROR(S26*Assumptions!$D$60,0))</f>
        <v/>
      </c>
      <c r="T31" s="268">
        <f>IF(Assumptions!$C$60="","",IFERROR(T26*Assumptions!$D$60,0))</f>
        <v/>
      </c>
      <c r="U31" s="268">
        <f>IF(Assumptions!$C$60="","",IFERROR(U26*Assumptions!$D$60,0))</f>
        <v/>
      </c>
      <c r="V31" s="268">
        <f>IF(Assumptions!$C$60="","",IFERROR(V26*Assumptions!$D$60,0))</f>
        <v/>
      </c>
      <c r="W31" s="268">
        <f>IF(Assumptions!$C$60="","",IFERROR(W26*Assumptions!$D$60,0))</f>
        <v/>
      </c>
      <c r="X31" s="268">
        <f>IF(Assumptions!$C$60="","",IFERROR(X26*Assumptions!$D$60,0))</f>
        <v/>
      </c>
      <c r="Y31" s="268">
        <f>IF(Assumptions!$C$60="","",IFERROR(Y26*Assumptions!$D$60,0))</f>
        <v/>
      </c>
      <c r="Z31" s="268">
        <f>IF(Assumptions!$C$60="","",IFERROR(Z26*Assumptions!$D$60,0))</f>
        <v/>
      </c>
      <c r="AA31" s="268">
        <f>SUM(O31:Z31)</f>
        <v/>
      </c>
      <c r="AB31" s="268">
        <f>IF(Assumptions!$C$60="","",IFERROR(AB26*Assumptions!$D$60,0))</f>
        <v/>
      </c>
      <c r="AC31" s="268">
        <f>IF(Assumptions!$C$60="","",IFERROR(AC26*Assumptions!$D$60,0))</f>
        <v/>
      </c>
      <c r="AD31" s="268">
        <f>IF(Assumptions!$C$60="","",IFERROR(AD26*Assumptions!$D$60,0))</f>
        <v/>
      </c>
      <c r="AE31" s="268">
        <f>IF(Assumptions!$C$60="","",IFERROR(AE26*Assumptions!$D$60,0))</f>
        <v/>
      </c>
      <c r="AF31" s="268">
        <f>IF(Assumptions!$C$60="","",IFERROR(AF26*Assumptions!$D$60,0))</f>
        <v/>
      </c>
      <c r="AG31" s="268">
        <f>IF(Assumptions!$C$60="","",IFERROR(AG26*Assumptions!$D$60,0))</f>
        <v/>
      </c>
      <c r="AH31" s="268">
        <f>IF(Assumptions!$C$60="","",IFERROR(AH26*Assumptions!$D$60,0))</f>
        <v/>
      </c>
      <c r="AI31" s="268">
        <f>IF(Assumptions!$C$60="","",IFERROR(AI26*Assumptions!$D$60,0))</f>
        <v/>
      </c>
      <c r="AJ31" s="268">
        <f>IF(Assumptions!$C$60="","",IFERROR(AJ26*Assumptions!$D$60,0))</f>
        <v/>
      </c>
      <c r="AK31" s="268">
        <f>IF(Assumptions!$C$60="","",IFERROR(AK26*Assumptions!$D$60,0))</f>
        <v/>
      </c>
      <c r="AL31" s="268">
        <f>IF(Assumptions!$C$60="","",IFERROR(AL26*Assumptions!$D$60,0))</f>
        <v/>
      </c>
      <c r="AM31" s="268">
        <f>IF(Assumptions!$C$60="","",IFERROR(AM26*Assumptions!$D$60,0))</f>
        <v/>
      </c>
      <c r="AN31" s="268">
        <f>SUM(AB31:AM31)</f>
        <v/>
      </c>
      <c r="AO31" s="268">
        <f>IF(Assumptions!$C$60="","",IFERROR(AO26*Assumptions!$D$60,0))</f>
        <v/>
      </c>
      <c r="AP31" s="268">
        <f>IF(Assumptions!$C$60="","",IFERROR(AP26*Assumptions!$D$60,0))</f>
        <v/>
      </c>
      <c r="AQ31" s="268">
        <f>IF(Assumptions!$C$60="","",IFERROR(AQ26*Assumptions!$D$60,0))</f>
        <v/>
      </c>
      <c r="AR31" s="268">
        <f>IF(Assumptions!$C$60="","",IFERROR(AR26*Assumptions!$D$60,0))</f>
        <v/>
      </c>
      <c r="AS31" s="268">
        <f>IF(Assumptions!$C$60="","",IFERROR(AS26*Assumptions!$D$60,0))</f>
        <v/>
      </c>
      <c r="AT31" s="268">
        <f>IF(Assumptions!$C$60="","",IFERROR(AT26*Assumptions!$D$60,0))</f>
        <v/>
      </c>
      <c r="AU31" s="268">
        <f>IF(Assumptions!$C$60="","",IFERROR(AU26*Assumptions!$D$60,0))</f>
        <v/>
      </c>
      <c r="AV31" s="268">
        <f>IF(Assumptions!$C$60="","",IFERROR(AV26*Assumptions!$D$60,0))</f>
        <v/>
      </c>
      <c r="AW31" s="268">
        <f>IF(Assumptions!$C$60="","",IFERROR(AW26*Assumptions!$D$60,0))</f>
        <v/>
      </c>
      <c r="AX31" s="268">
        <f>IF(Assumptions!$C$60="","",IFERROR(AX26*Assumptions!$D$60,0))</f>
        <v/>
      </c>
      <c r="AY31" s="268">
        <f>IF(Assumptions!$C$60="","",IFERROR(AY26*Assumptions!$D$60,0))</f>
        <v/>
      </c>
      <c r="AZ31" s="268">
        <f>IF(Assumptions!$C$60="","",IFERROR(AZ26*Assumptions!$D$60,0))</f>
        <v/>
      </c>
      <c r="BA31" s="268">
        <f>SUM(AO31:AZ31)</f>
        <v/>
      </c>
      <c r="BB31" s="268">
        <f>IF(Assumptions!$C$60="","",IFERROR(BB26*Assumptions!$D$60,0))</f>
        <v/>
      </c>
      <c r="BC31" s="268">
        <f>IF(Assumptions!$C$60="","",IFERROR(BC26*Assumptions!$D$60,0))</f>
        <v/>
      </c>
      <c r="BD31" s="268">
        <f>IF(Assumptions!$C$60="","",IFERROR(BD26*Assumptions!$D$60,0))</f>
        <v/>
      </c>
      <c r="BE31" s="268">
        <f>IF(Assumptions!$C$60="","",IFERROR(BE26*Assumptions!$D$60,0))</f>
        <v/>
      </c>
      <c r="BF31" s="268">
        <f>IF(Assumptions!$C$60="","",IFERROR(BF26*Assumptions!$D$60,0))</f>
        <v/>
      </c>
      <c r="BG31" s="268">
        <f>IF(Assumptions!$C$60="","",IFERROR(BG26*Assumptions!$D$60,0))</f>
        <v/>
      </c>
      <c r="BH31" s="268">
        <f>IF(Assumptions!$C$60="","",IFERROR(BH26*Assumptions!$D$60,0))</f>
        <v/>
      </c>
      <c r="BI31" s="268">
        <f>IF(Assumptions!$C$60="","",IFERROR(BI26*Assumptions!$D$60,0))</f>
        <v/>
      </c>
      <c r="BJ31" s="268">
        <f>IF(Assumptions!$C$60="","",IFERROR(BJ26*Assumptions!$D$60,0))</f>
        <v/>
      </c>
      <c r="BK31" s="268">
        <f>IF(Assumptions!$C$60="","",IFERROR(BK26*Assumptions!$D$60,0))</f>
        <v/>
      </c>
      <c r="BL31" s="268">
        <f>IF(Assumptions!$C$60="","",IFERROR(BL26*Assumptions!$D$60,0))</f>
        <v/>
      </c>
      <c r="BM31" s="268">
        <f>IF(Assumptions!$C$60="","",IFERROR(BM26*Assumptions!$D$60,0))</f>
        <v/>
      </c>
      <c r="BN31" s="268">
        <f>SUM(BB31:BM31)</f>
        <v/>
      </c>
    </row>
    <row r="32">
      <c r="A32" s="266">
        <f>IF(Assumptions!$C$61="","",Assumptions!$C$61)</f>
        <v/>
      </c>
      <c r="B32" s="268">
        <f>IF(Assumptions!$C$61="","",IFERROR(B26*Assumptions!$D$61,0))</f>
        <v/>
      </c>
      <c r="C32" s="268">
        <f>IF(Assumptions!$C$61="","",IFERROR(C26*Assumptions!$D$61,0))</f>
        <v/>
      </c>
      <c r="D32" s="268">
        <f>IF(Assumptions!$C$61="","",IFERROR(D26*Assumptions!$D$61,0))</f>
        <v/>
      </c>
      <c r="E32" s="268">
        <f>IF(Assumptions!$C$61="","",IFERROR(E26*Assumptions!$D$61,0))</f>
        <v/>
      </c>
      <c r="F32" s="268">
        <f>IF(Assumptions!$C$61="","",IFERROR(F26*Assumptions!$D$61,0))</f>
        <v/>
      </c>
      <c r="G32" s="268">
        <f>IF(Assumptions!$C$61="","",IFERROR(G26*Assumptions!$D$61,0))</f>
        <v/>
      </c>
      <c r="H32" s="268">
        <f>IF(Assumptions!$C$61="","",IFERROR(H26*Assumptions!$D$61,0))</f>
        <v/>
      </c>
      <c r="I32" s="268">
        <f>IF(Assumptions!$C$61="","",IFERROR(I26*Assumptions!$D$61,0))</f>
        <v/>
      </c>
      <c r="J32" s="268">
        <f>IF(Assumptions!$C$61="","",IFERROR(J26*Assumptions!$D$61,0))</f>
        <v/>
      </c>
      <c r="K32" s="268">
        <f>IF(Assumptions!$C$61="","",IFERROR(K26*Assumptions!$D$61,0))</f>
        <v/>
      </c>
      <c r="L32" s="268">
        <f>IF(Assumptions!$C$61="","",IFERROR(L26*Assumptions!$D$61,0))</f>
        <v/>
      </c>
      <c r="M32" s="268">
        <f>IF(Assumptions!$C$61="","",IFERROR(M26*Assumptions!$D$61,0))</f>
        <v/>
      </c>
      <c r="N32" s="268">
        <f>SUM(B32:M32)</f>
        <v/>
      </c>
      <c r="O32" s="268">
        <f>IF(Assumptions!$C$61="","",IFERROR(O26*Assumptions!$D$61,0))</f>
        <v/>
      </c>
      <c r="P32" s="268">
        <f>IF(Assumptions!$C$61="","",IFERROR(P26*Assumptions!$D$61,0))</f>
        <v/>
      </c>
      <c r="Q32" s="268">
        <f>IF(Assumptions!$C$61="","",IFERROR(Q26*Assumptions!$D$61,0))</f>
        <v/>
      </c>
      <c r="R32" s="268">
        <f>IF(Assumptions!$C$61="","",IFERROR(R26*Assumptions!$D$61,0))</f>
        <v/>
      </c>
      <c r="S32" s="268">
        <f>IF(Assumptions!$C$61="","",IFERROR(S26*Assumptions!$D$61,0))</f>
        <v/>
      </c>
      <c r="T32" s="268">
        <f>IF(Assumptions!$C$61="","",IFERROR(T26*Assumptions!$D$61,0))</f>
        <v/>
      </c>
      <c r="U32" s="268">
        <f>IF(Assumptions!$C$61="","",IFERROR(U26*Assumptions!$D$61,0))</f>
        <v/>
      </c>
      <c r="V32" s="268">
        <f>IF(Assumptions!$C$61="","",IFERROR(V26*Assumptions!$D$61,0))</f>
        <v/>
      </c>
      <c r="W32" s="268">
        <f>IF(Assumptions!$C$61="","",IFERROR(W26*Assumptions!$D$61,0))</f>
        <v/>
      </c>
      <c r="X32" s="268">
        <f>IF(Assumptions!$C$61="","",IFERROR(X26*Assumptions!$D$61,0))</f>
        <v/>
      </c>
      <c r="Y32" s="268">
        <f>IF(Assumptions!$C$61="","",IFERROR(Y26*Assumptions!$D$61,0))</f>
        <v/>
      </c>
      <c r="Z32" s="268">
        <f>IF(Assumptions!$C$61="","",IFERROR(Z26*Assumptions!$D$61,0))</f>
        <v/>
      </c>
      <c r="AA32" s="268">
        <f>SUM(O32:Z32)</f>
        <v/>
      </c>
      <c r="AB32" s="268">
        <f>IF(Assumptions!$C$61="","",IFERROR(AB26*Assumptions!$D$61,0))</f>
        <v/>
      </c>
      <c r="AC32" s="268">
        <f>IF(Assumptions!$C$61="","",IFERROR(AC26*Assumptions!$D$61,0))</f>
        <v/>
      </c>
      <c r="AD32" s="268">
        <f>IF(Assumptions!$C$61="","",IFERROR(AD26*Assumptions!$D$61,0))</f>
        <v/>
      </c>
      <c r="AE32" s="268">
        <f>IF(Assumptions!$C$61="","",IFERROR(AE26*Assumptions!$D$61,0))</f>
        <v/>
      </c>
      <c r="AF32" s="268">
        <f>IF(Assumptions!$C$61="","",IFERROR(AF26*Assumptions!$D$61,0))</f>
        <v/>
      </c>
      <c r="AG32" s="268">
        <f>IF(Assumptions!$C$61="","",IFERROR(AG26*Assumptions!$D$61,0))</f>
        <v/>
      </c>
      <c r="AH32" s="268">
        <f>IF(Assumptions!$C$61="","",IFERROR(AH26*Assumptions!$D$61,0))</f>
        <v/>
      </c>
      <c r="AI32" s="268">
        <f>IF(Assumptions!$C$61="","",IFERROR(AI26*Assumptions!$D$61,0))</f>
        <v/>
      </c>
      <c r="AJ32" s="268">
        <f>IF(Assumptions!$C$61="","",IFERROR(AJ26*Assumptions!$D$61,0))</f>
        <v/>
      </c>
      <c r="AK32" s="268">
        <f>IF(Assumptions!$C$61="","",IFERROR(AK26*Assumptions!$D$61,0))</f>
        <v/>
      </c>
      <c r="AL32" s="268">
        <f>IF(Assumptions!$C$61="","",IFERROR(AL26*Assumptions!$D$61,0))</f>
        <v/>
      </c>
      <c r="AM32" s="268">
        <f>IF(Assumptions!$C$61="","",IFERROR(AM26*Assumptions!$D$61,0))</f>
        <v/>
      </c>
      <c r="AN32" s="268">
        <f>SUM(AB32:AM32)</f>
        <v/>
      </c>
      <c r="AO32" s="268">
        <f>IF(Assumptions!$C$61="","",IFERROR(AO26*Assumptions!$D$61,0))</f>
        <v/>
      </c>
      <c r="AP32" s="268">
        <f>IF(Assumptions!$C$61="","",IFERROR(AP26*Assumptions!$D$61,0))</f>
        <v/>
      </c>
      <c r="AQ32" s="268">
        <f>IF(Assumptions!$C$61="","",IFERROR(AQ26*Assumptions!$D$61,0))</f>
        <v/>
      </c>
      <c r="AR32" s="268">
        <f>IF(Assumptions!$C$61="","",IFERROR(AR26*Assumptions!$D$61,0))</f>
        <v/>
      </c>
      <c r="AS32" s="268">
        <f>IF(Assumptions!$C$61="","",IFERROR(AS26*Assumptions!$D$61,0))</f>
        <v/>
      </c>
      <c r="AT32" s="268">
        <f>IF(Assumptions!$C$61="","",IFERROR(AT26*Assumptions!$D$61,0))</f>
        <v/>
      </c>
      <c r="AU32" s="268">
        <f>IF(Assumptions!$C$61="","",IFERROR(AU26*Assumptions!$D$61,0))</f>
        <v/>
      </c>
      <c r="AV32" s="268">
        <f>IF(Assumptions!$C$61="","",IFERROR(AV26*Assumptions!$D$61,0))</f>
        <v/>
      </c>
      <c r="AW32" s="268">
        <f>IF(Assumptions!$C$61="","",IFERROR(AW26*Assumptions!$D$61,0))</f>
        <v/>
      </c>
      <c r="AX32" s="268">
        <f>IF(Assumptions!$C$61="","",IFERROR(AX26*Assumptions!$D$61,0))</f>
        <v/>
      </c>
      <c r="AY32" s="268">
        <f>IF(Assumptions!$C$61="","",IFERROR(AY26*Assumptions!$D$61,0))</f>
        <v/>
      </c>
      <c r="AZ32" s="268">
        <f>IF(Assumptions!$C$61="","",IFERROR(AZ26*Assumptions!$D$61,0))</f>
        <v/>
      </c>
      <c r="BA32" s="268">
        <f>SUM(AO32:AZ32)</f>
        <v/>
      </c>
      <c r="BB32" s="268">
        <f>IF(Assumptions!$C$61="","",IFERROR(BB26*Assumptions!$D$61,0))</f>
        <v/>
      </c>
      <c r="BC32" s="268">
        <f>IF(Assumptions!$C$61="","",IFERROR(BC26*Assumptions!$D$61,0))</f>
        <v/>
      </c>
      <c r="BD32" s="268">
        <f>IF(Assumptions!$C$61="","",IFERROR(BD26*Assumptions!$D$61,0))</f>
        <v/>
      </c>
      <c r="BE32" s="268">
        <f>IF(Assumptions!$C$61="","",IFERROR(BE26*Assumptions!$D$61,0))</f>
        <v/>
      </c>
      <c r="BF32" s="268">
        <f>IF(Assumptions!$C$61="","",IFERROR(BF26*Assumptions!$D$61,0))</f>
        <v/>
      </c>
      <c r="BG32" s="268">
        <f>IF(Assumptions!$C$61="","",IFERROR(BG26*Assumptions!$D$61,0))</f>
        <v/>
      </c>
      <c r="BH32" s="268">
        <f>IF(Assumptions!$C$61="","",IFERROR(BH26*Assumptions!$D$61,0))</f>
        <v/>
      </c>
      <c r="BI32" s="268">
        <f>IF(Assumptions!$C$61="","",IFERROR(BI26*Assumptions!$D$61,0))</f>
        <v/>
      </c>
      <c r="BJ32" s="268">
        <f>IF(Assumptions!$C$61="","",IFERROR(BJ26*Assumptions!$D$61,0))</f>
        <v/>
      </c>
      <c r="BK32" s="268">
        <f>IF(Assumptions!$C$61="","",IFERROR(BK26*Assumptions!$D$61,0))</f>
        <v/>
      </c>
      <c r="BL32" s="268">
        <f>IF(Assumptions!$C$61="","",IFERROR(BL26*Assumptions!$D$61,0))</f>
        <v/>
      </c>
      <c r="BM32" s="268">
        <f>IF(Assumptions!$C$61="","",IFERROR(BM26*Assumptions!$D$61,0))</f>
        <v/>
      </c>
      <c r="BN32" s="268">
        <f>SUM(BB32:BM32)</f>
        <v/>
      </c>
    </row>
    <row r="33">
      <c r="A33" s="266">
        <f>IF(Assumptions!$C$62="","",Assumptions!$C$62)</f>
        <v/>
      </c>
      <c r="B33" s="268">
        <f>IF(Assumptions!$C$62="","",IFERROR(B26*Assumptions!$D$62,0))</f>
        <v/>
      </c>
      <c r="C33" s="268">
        <f>IF(Assumptions!$C$62="","",IFERROR(C26*Assumptions!$D$62,0))</f>
        <v/>
      </c>
      <c r="D33" s="268">
        <f>IF(Assumptions!$C$62="","",IFERROR(D26*Assumptions!$D$62,0))</f>
        <v/>
      </c>
      <c r="E33" s="268">
        <f>IF(Assumptions!$C$62="","",IFERROR(E26*Assumptions!$D$62,0))</f>
        <v/>
      </c>
      <c r="F33" s="268">
        <f>IF(Assumptions!$C$62="","",IFERROR(F26*Assumptions!$D$62,0))</f>
        <v/>
      </c>
      <c r="G33" s="268">
        <f>IF(Assumptions!$C$62="","",IFERROR(G26*Assumptions!$D$62,0))</f>
        <v/>
      </c>
      <c r="H33" s="268">
        <f>IF(Assumptions!$C$62="","",IFERROR(H26*Assumptions!$D$62,0))</f>
        <v/>
      </c>
      <c r="I33" s="268">
        <f>IF(Assumptions!$C$62="","",IFERROR(I26*Assumptions!$D$62,0))</f>
        <v/>
      </c>
      <c r="J33" s="268">
        <f>IF(Assumptions!$C$62="","",IFERROR(J26*Assumptions!$D$62,0))</f>
        <v/>
      </c>
      <c r="K33" s="268">
        <f>IF(Assumptions!$C$62="","",IFERROR(K26*Assumptions!$D$62,0))</f>
        <v/>
      </c>
      <c r="L33" s="268">
        <f>IF(Assumptions!$C$62="","",IFERROR(L26*Assumptions!$D$62,0))</f>
        <v/>
      </c>
      <c r="M33" s="268">
        <f>IF(Assumptions!$C$62="","",IFERROR(M26*Assumptions!$D$62,0))</f>
        <v/>
      </c>
      <c r="N33" s="268">
        <f>SUM(B33:M33)</f>
        <v/>
      </c>
      <c r="O33" s="268">
        <f>IF(Assumptions!$C$62="","",IFERROR(O26*Assumptions!$D$62,0))</f>
        <v/>
      </c>
      <c r="P33" s="268">
        <f>IF(Assumptions!$C$62="","",IFERROR(P26*Assumptions!$D$62,0))</f>
        <v/>
      </c>
      <c r="Q33" s="268">
        <f>IF(Assumptions!$C$62="","",IFERROR(Q26*Assumptions!$D$62,0))</f>
        <v/>
      </c>
      <c r="R33" s="268">
        <f>IF(Assumptions!$C$62="","",IFERROR(R26*Assumptions!$D$62,0))</f>
        <v/>
      </c>
      <c r="S33" s="268">
        <f>IF(Assumptions!$C$62="","",IFERROR(S26*Assumptions!$D$62,0))</f>
        <v/>
      </c>
      <c r="T33" s="268">
        <f>IF(Assumptions!$C$62="","",IFERROR(T26*Assumptions!$D$62,0))</f>
        <v/>
      </c>
      <c r="U33" s="268">
        <f>IF(Assumptions!$C$62="","",IFERROR(U26*Assumptions!$D$62,0))</f>
        <v/>
      </c>
      <c r="V33" s="268">
        <f>IF(Assumptions!$C$62="","",IFERROR(V26*Assumptions!$D$62,0))</f>
        <v/>
      </c>
      <c r="W33" s="268">
        <f>IF(Assumptions!$C$62="","",IFERROR(W26*Assumptions!$D$62,0))</f>
        <v/>
      </c>
      <c r="X33" s="268">
        <f>IF(Assumptions!$C$62="","",IFERROR(X26*Assumptions!$D$62,0))</f>
        <v/>
      </c>
      <c r="Y33" s="268">
        <f>IF(Assumptions!$C$62="","",IFERROR(Y26*Assumptions!$D$62,0))</f>
        <v/>
      </c>
      <c r="Z33" s="268">
        <f>IF(Assumptions!$C$62="","",IFERROR(Z26*Assumptions!$D$62,0))</f>
        <v/>
      </c>
      <c r="AA33" s="268">
        <f>SUM(O33:Z33)</f>
        <v/>
      </c>
      <c r="AB33" s="268">
        <f>IF(Assumptions!$C$62="","",IFERROR(AB26*Assumptions!$D$62,0))</f>
        <v/>
      </c>
      <c r="AC33" s="268">
        <f>IF(Assumptions!$C$62="","",IFERROR(AC26*Assumptions!$D$62,0))</f>
        <v/>
      </c>
      <c r="AD33" s="268">
        <f>IF(Assumptions!$C$62="","",IFERROR(AD26*Assumptions!$D$62,0))</f>
        <v/>
      </c>
      <c r="AE33" s="268">
        <f>IF(Assumptions!$C$62="","",IFERROR(AE26*Assumptions!$D$62,0))</f>
        <v/>
      </c>
      <c r="AF33" s="268">
        <f>IF(Assumptions!$C$62="","",IFERROR(AF26*Assumptions!$D$62,0))</f>
        <v/>
      </c>
      <c r="AG33" s="268">
        <f>IF(Assumptions!$C$62="","",IFERROR(AG26*Assumptions!$D$62,0))</f>
        <v/>
      </c>
      <c r="AH33" s="268">
        <f>IF(Assumptions!$C$62="","",IFERROR(AH26*Assumptions!$D$62,0))</f>
        <v/>
      </c>
      <c r="AI33" s="268">
        <f>IF(Assumptions!$C$62="","",IFERROR(AI26*Assumptions!$D$62,0))</f>
        <v/>
      </c>
      <c r="AJ33" s="268">
        <f>IF(Assumptions!$C$62="","",IFERROR(AJ26*Assumptions!$D$62,0))</f>
        <v/>
      </c>
      <c r="AK33" s="268">
        <f>IF(Assumptions!$C$62="","",IFERROR(AK26*Assumptions!$D$62,0))</f>
        <v/>
      </c>
      <c r="AL33" s="268">
        <f>IF(Assumptions!$C$62="","",IFERROR(AL26*Assumptions!$D$62,0))</f>
        <v/>
      </c>
      <c r="AM33" s="268">
        <f>IF(Assumptions!$C$62="","",IFERROR(AM26*Assumptions!$D$62,0))</f>
        <v/>
      </c>
      <c r="AN33" s="268">
        <f>SUM(AB33:AM33)</f>
        <v/>
      </c>
      <c r="AO33" s="268">
        <f>IF(Assumptions!$C$62="","",IFERROR(AO26*Assumptions!$D$62,0))</f>
        <v/>
      </c>
      <c r="AP33" s="268">
        <f>IF(Assumptions!$C$62="","",IFERROR(AP26*Assumptions!$D$62,0))</f>
        <v/>
      </c>
      <c r="AQ33" s="268">
        <f>IF(Assumptions!$C$62="","",IFERROR(AQ26*Assumptions!$D$62,0))</f>
        <v/>
      </c>
      <c r="AR33" s="268">
        <f>IF(Assumptions!$C$62="","",IFERROR(AR26*Assumptions!$D$62,0))</f>
        <v/>
      </c>
      <c r="AS33" s="268">
        <f>IF(Assumptions!$C$62="","",IFERROR(AS26*Assumptions!$D$62,0))</f>
        <v/>
      </c>
      <c r="AT33" s="268">
        <f>IF(Assumptions!$C$62="","",IFERROR(AT26*Assumptions!$D$62,0))</f>
        <v/>
      </c>
      <c r="AU33" s="268">
        <f>IF(Assumptions!$C$62="","",IFERROR(AU26*Assumptions!$D$62,0))</f>
        <v/>
      </c>
      <c r="AV33" s="268">
        <f>IF(Assumptions!$C$62="","",IFERROR(AV26*Assumptions!$D$62,0))</f>
        <v/>
      </c>
      <c r="AW33" s="268">
        <f>IF(Assumptions!$C$62="","",IFERROR(AW26*Assumptions!$D$62,0))</f>
        <v/>
      </c>
      <c r="AX33" s="268">
        <f>IF(Assumptions!$C$62="","",IFERROR(AX26*Assumptions!$D$62,0))</f>
        <v/>
      </c>
      <c r="AY33" s="268">
        <f>IF(Assumptions!$C$62="","",IFERROR(AY26*Assumptions!$D$62,0))</f>
        <v/>
      </c>
      <c r="AZ33" s="268">
        <f>IF(Assumptions!$C$62="","",IFERROR(AZ26*Assumptions!$D$62,0))</f>
        <v/>
      </c>
      <c r="BA33" s="268">
        <f>SUM(AO33:AZ33)</f>
        <v/>
      </c>
      <c r="BB33" s="268">
        <f>IF(Assumptions!$C$62="","",IFERROR(BB26*Assumptions!$D$62,0))</f>
        <v/>
      </c>
      <c r="BC33" s="268">
        <f>IF(Assumptions!$C$62="","",IFERROR(BC26*Assumptions!$D$62,0))</f>
        <v/>
      </c>
      <c r="BD33" s="268">
        <f>IF(Assumptions!$C$62="","",IFERROR(BD26*Assumptions!$D$62,0))</f>
        <v/>
      </c>
      <c r="BE33" s="268">
        <f>IF(Assumptions!$C$62="","",IFERROR(BE26*Assumptions!$D$62,0))</f>
        <v/>
      </c>
      <c r="BF33" s="268">
        <f>IF(Assumptions!$C$62="","",IFERROR(BF26*Assumptions!$D$62,0))</f>
        <v/>
      </c>
      <c r="BG33" s="268">
        <f>IF(Assumptions!$C$62="","",IFERROR(BG26*Assumptions!$D$62,0))</f>
        <v/>
      </c>
      <c r="BH33" s="268">
        <f>IF(Assumptions!$C$62="","",IFERROR(BH26*Assumptions!$D$62,0))</f>
        <v/>
      </c>
      <c r="BI33" s="268">
        <f>IF(Assumptions!$C$62="","",IFERROR(BI26*Assumptions!$D$62,0))</f>
        <v/>
      </c>
      <c r="BJ33" s="268">
        <f>IF(Assumptions!$C$62="","",IFERROR(BJ26*Assumptions!$D$62,0))</f>
        <v/>
      </c>
      <c r="BK33" s="268">
        <f>IF(Assumptions!$C$62="","",IFERROR(BK26*Assumptions!$D$62,0))</f>
        <v/>
      </c>
      <c r="BL33" s="268">
        <f>IF(Assumptions!$C$62="","",IFERROR(BL26*Assumptions!$D$62,0))</f>
        <v/>
      </c>
      <c r="BM33" s="268">
        <f>IF(Assumptions!$C$62="","",IFERROR(BM26*Assumptions!$D$62,0))</f>
        <v/>
      </c>
      <c r="BN33" s="268">
        <f>SUM(BB33:BM33)</f>
        <v/>
      </c>
    </row>
    <row r="34">
      <c r="A34" s="276" t="inlineStr">
        <is>
          <t>Total (ties to TOTAL REVENUE)</t>
        </is>
      </c>
      <c r="B34" s="277">
        <f>SUM(B29:B33)</f>
        <v/>
      </c>
      <c r="C34" s="277">
        <f>SUM(C29:C33)</f>
        <v/>
      </c>
      <c r="D34" s="277">
        <f>SUM(D29:D33)</f>
        <v/>
      </c>
      <c r="E34" s="277">
        <f>SUM(E29:E33)</f>
        <v/>
      </c>
      <c r="F34" s="277">
        <f>SUM(F29:F33)</f>
        <v/>
      </c>
      <c r="G34" s="277">
        <f>SUM(G29:G33)</f>
        <v/>
      </c>
      <c r="H34" s="277">
        <f>SUM(H29:H33)</f>
        <v/>
      </c>
      <c r="I34" s="277">
        <f>SUM(I29:I33)</f>
        <v/>
      </c>
      <c r="J34" s="277">
        <f>SUM(J29:J33)</f>
        <v/>
      </c>
      <c r="K34" s="277">
        <f>SUM(K29:K33)</f>
        <v/>
      </c>
      <c r="L34" s="277">
        <f>SUM(L29:L33)</f>
        <v/>
      </c>
      <c r="M34" s="277">
        <f>SUM(M29:M33)</f>
        <v/>
      </c>
      <c r="N34" s="277">
        <f>SUM(B34:M34)</f>
        <v/>
      </c>
      <c r="O34" s="277">
        <f>SUM(O29:O33)</f>
        <v/>
      </c>
      <c r="P34" s="277">
        <f>SUM(P29:P33)</f>
        <v/>
      </c>
      <c r="Q34" s="277">
        <f>SUM(Q29:Q33)</f>
        <v/>
      </c>
      <c r="R34" s="277">
        <f>SUM(R29:R33)</f>
        <v/>
      </c>
      <c r="S34" s="277">
        <f>SUM(S29:S33)</f>
        <v/>
      </c>
      <c r="T34" s="277">
        <f>SUM(T29:T33)</f>
        <v/>
      </c>
      <c r="U34" s="277">
        <f>SUM(U29:U33)</f>
        <v/>
      </c>
      <c r="V34" s="277">
        <f>SUM(V29:V33)</f>
        <v/>
      </c>
      <c r="W34" s="277">
        <f>SUM(W29:W33)</f>
        <v/>
      </c>
      <c r="X34" s="277">
        <f>SUM(X29:X33)</f>
        <v/>
      </c>
      <c r="Y34" s="277">
        <f>SUM(Y29:Y33)</f>
        <v/>
      </c>
      <c r="Z34" s="277">
        <f>SUM(Z29:Z33)</f>
        <v/>
      </c>
      <c r="AA34" s="277">
        <f>SUM(O34:Z34)</f>
        <v/>
      </c>
      <c r="AB34" s="277">
        <f>SUM(AB29:AB33)</f>
        <v/>
      </c>
      <c r="AC34" s="277">
        <f>SUM(AC29:AC33)</f>
        <v/>
      </c>
      <c r="AD34" s="277">
        <f>SUM(AD29:AD33)</f>
        <v/>
      </c>
      <c r="AE34" s="277">
        <f>SUM(AE29:AE33)</f>
        <v/>
      </c>
      <c r="AF34" s="277">
        <f>SUM(AF29:AF33)</f>
        <v/>
      </c>
      <c r="AG34" s="277">
        <f>SUM(AG29:AG33)</f>
        <v/>
      </c>
      <c r="AH34" s="277">
        <f>SUM(AH29:AH33)</f>
        <v/>
      </c>
      <c r="AI34" s="277">
        <f>SUM(AI29:AI33)</f>
        <v/>
      </c>
      <c r="AJ34" s="277">
        <f>SUM(AJ29:AJ33)</f>
        <v/>
      </c>
      <c r="AK34" s="277">
        <f>SUM(AK29:AK33)</f>
        <v/>
      </c>
      <c r="AL34" s="277">
        <f>SUM(AL29:AL33)</f>
        <v/>
      </c>
      <c r="AM34" s="277">
        <f>SUM(AM29:AM33)</f>
        <v/>
      </c>
      <c r="AN34" s="277">
        <f>SUM(AB34:AM34)</f>
        <v/>
      </c>
      <c r="AO34" s="277">
        <f>SUM(AO29:AO33)</f>
        <v/>
      </c>
      <c r="AP34" s="277">
        <f>SUM(AP29:AP33)</f>
        <v/>
      </c>
      <c r="AQ34" s="277">
        <f>SUM(AQ29:AQ33)</f>
        <v/>
      </c>
      <c r="AR34" s="277">
        <f>SUM(AR29:AR33)</f>
        <v/>
      </c>
      <c r="AS34" s="277">
        <f>SUM(AS29:AS33)</f>
        <v/>
      </c>
      <c r="AT34" s="277">
        <f>SUM(AT29:AT33)</f>
        <v/>
      </c>
      <c r="AU34" s="277">
        <f>SUM(AU29:AU33)</f>
        <v/>
      </c>
      <c r="AV34" s="277">
        <f>SUM(AV29:AV33)</f>
        <v/>
      </c>
      <c r="AW34" s="277">
        <f>SUM(AW29:AW33)</f>
        <v/>
      </c>
      <c r="AX34" s="277">
        <f>SUM(AX29:AX33)</f>
        <v/>
      </c>
      <c r="AY34" s="277">
        <f>SUM(AY29:AY33)</f>
        <v/>
      </c>
      <c r="AZ34" s="277">
        <f>SUM(AZ29:AZ33)</f>
        <v/>
      </c>
      <c r="BA34" s="277">
        <f>SUM(AO34:AZ34)</f>
        <v/>
      </c>
      <c r="BB34" s="277">
        <f>SUM(BB29:BB33)</f>
        <v/>
      </c>
      <c r="BC34" s="277">
        <f>SUM(BC29:BC33)</f>
        <v/>
      </c>
      <c r="BD34" s="277">
        <f>SUM(BD29:BD33)</f>
        <v/>
      </c>
      <c r="BE34" s="277">
        <f>SUM(BE29:BE33)</f>
        <v/>
      </c>
      <c r="BF34" s="277">
        <f>SUM(BF29:BF33)</f>
        <v/>
      </c>
      <c r="BG34" s="277">
        <f>SUM(BG29:BG33)</f>
        <v/>
      </c>
      <c r="BH34" s="277">
        <f>SUM(BH29:BH33)</f>
        <v/>
      </c>
      <c r="BI34" s="277">
        <f>SUM(BI29:BI33)</f>
        <v/>
      </c>
      <c r="BJ34" s="277">
        <f>SUM(BJ29:BJ33)</f>
        <v/>
      </c>
      <c r="BK34" s="277">
        <f>SUM(BK29:BK33)</f>
        <v/>
      </c>
      <c r="BL34" s="277">
        <f>SUM(BL29:BL33)</f>
        <v/>
      </c>
      <c r="BM34" s="277">
        <f>SUM(BM29:BM33)</f>
        <v/>
      </c>
      <c r="BN34" s="277">
        <f>SUM(BB34:BM34)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N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OPERATING EXPENSES  —  60-MONTH PROJECTION</t>
        </is>
      </c>
    </row>
    <row r="2" ht="15" customHeight="1" s="82">
      <c r="A2" s="114" t="inlineStr">
        <is>
          <t>Cost of sales is margin-based; operating costs are period costs.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88" t="inlineStr">
        <is>
          <t>Operating cost of services</t>
        </is>
      </c>
      <c r="B5" s="140">
        <f>'Revenue Build-Up'!B26*(1-Assumptions!$C$25)</f>
        <v/>
      </c>
      <c r="C5" s="140">
        <f>'Revenue Build-Up'!C26*(1-Assumptions!$C$25)</f>
        <v/>
      </c>
      <c r="D5" s="140">
        <f>'Revenue Build-Up'!D26*(1-Assumptions!$C$25)</f>
        <v/>
      </c>
      <c r="E5" s="140">
        <f>'Revenue Build-Up'!E26*(1-Assumptions!$C$25)</f>
        <v/>
      </c>
      <c r="F5" s="140">
        <f>'Revenue Build-Up'!F26*(1-Assumptions!$C$25)</f>
        <v/>
      </c>
      <c r="G5" s="140">
        <f>'Revenue Build-Up'!G26*(1-Assumptions!$C$25)</f>
        <v/>
      </c>
      <c r="H5" s="140">
        <f>'Revenue Build-Up'!H26*(1-Assumptions!$C$25)</f>
        <v/>
      </c>
      <c r="I5" s="140">
        <f>'Revenue Build-Up'!I26*(1-Assumptions!$C$25)</f>
        <v/>
      </c>
      <c r="J5" s="140">
        <f>'Revenue Build-Up'!J26*(1-Assumptions!$C$25)</f>
        <v/>
      </c>
      <c r="K5" s="140">
        <f>'Revenue Build-Up'!K26*(1-Assumptions!$C$25)</f>
        <v/>
      </c>
      <c r="L5" s="140">
        <f>'Revenue Build-Up'!L26*(1-Assumptions!$C$25)</f>
        <v/>
      </c>
      <c r="M5" s="140">
        <f>'Revenue Build-Up'!M26*(1-Assumptions!$C$25)</f>
        <v/>
      </c>
      <c r="N5" s="139">
        <f>SUM(B5:M5)</f>
        <v/>
      </c>
      <c r="O5" s="140">
        <f>'Revenue Build-Up'!O26*(1-Assumptions!$C$25)</f>
        <v/>
      </c>
      <c r="P5" s="140">
        <f>'Revenue Build-Up'!P26*(1-Assumptions!$C$25)</f>
        <v/>
      </c>
      <c r="Q5" s="140">
        <f>'Revenue Build-Up'!Q26*(1-Assumptions!$C$25)</f>
        <v/>
      </c>
      <c r="R5" s="140">
        <f>'Revenue Build-Up'!R26*(1-Assumptions!$C$25)</f>
        <v/>
      </c>
      <c r="S5" s="140">
        <f>'Revenue Build-Up'!S26*(1-Assumptions!$C$25)</f>
        <v/>
      </c>
      <c r="T5" s="140">
        <f>'Revenue Build-Up'!T26*(1-Assumptions!$C$25)</f>
        <v/>
      </c>
      <c r="U5" s="140">
        <f>'Revenue Build-Up'!U26*(1-Assumptions!$C$25)</f>
        <v/>
      </c>
      <c r="V5" s="140">
        <f>'Revenue Build-Up'!V26*(1-Assumptions!$C$25)</f>
        <v/>
      </c>
      <c r="W5" s="140">
        <f>'Revenue Build-Up'!W26*(1-Assumptions!$C$25)</f>
        <v/>
      </c>
      <c r="X5" s="140">
        <f>'Revenue Build-Up'!X26*(1-Assumptions!$C$25)</f>
        <v/>
      </c>
      <c r="Y5" s="140">
        <f>'Revenue Build-Up'!Y26*(1-Assumptions!$C$25)</f>
        <v/>
      </c>
      <c r="Z5" s="140">
        <f>'Revenue Build-Up'!Z26*(1-Assumptions!$C$25)</f>
        <v/>
      </c>
      <c r="AA5" s="139">
        <f>SUM(O5:Z5)</f>
        <v/>
      </c>
      <c r="AB5" s="140">
        <f>'Revenue Build-Up'!AB26*(1-Assumptions!$C$25)</f>
        <v/>
      </c>
      <c r="AC5" s="140">
        <f>'Revenue Build-Up'!AC26*(1-Assumptions!$C$25)</f>
        <v/>
      </c>
      <c r="AD5" s="140">
        <f>'Revenue Build-Up'!AD26*(1-Assumptions!$C$25)</f>
        <v/>
      </c>
      <c r="AE5" s="140">
        <f>'Revenue Build-Up'!AE26*(1-Assumptions!$C$25)</f>
        <v/>
      </c>
      <c r="AF5" s="140">
        <f>'Revenue Build-Up'!AF26*(1-Assumptions!$C$25)</f>
        <v/>
      </c>
      <c r="AG5" s="140">
        <f>'Revenue Build-Up'!AG26*(1-Assumptions!$C$25)</f>
        <v/>
      </c>
      <c r="AH5" s="140">
        <f>'Revenue Build-Up'!AH26*(1-Assumptions!$C$25)</f>
        <v/>
      </c>
      <c r="AI5" s="140">
        <f>'Revenue Build-Up'!AI26*(1-Assumptions!$C$25)</f>
        <v/>
      </c>
      <c r="AJ5" s="140">
        <f>'Revenue Build-Up'!AJ26*(1-Assumptions!$C$25)</f>
        <v/>
      </c>
      <c r="AK5" s="140">
        <f>'Revenue Build-Up'!AK26*(1-Assumptions!$C$25)</f>
        <v/>
      </c>
      <c r="AL5" s="140">
        <f>'Revenue Build-Up'!AL26*(1-Assumptions!$C$25)</f>
        <v/>
      </c>
      <c r="AM5" s="140">
        <f>'Revenue Build-Up'!AM26*(1-Assumptions!$C$25)</f>
        <v/>
      </c>
      <c r="AN5" s="139">
        <f>SUM(AB5:AM5)</f>
        <v/>
      </c>
      <c r="AO5" s="140">
        <f>'Revenue Build-Up'!AO26*(1-Assumptions!$C$25)</f>
        <v/>
      </c>
      <c r="AP5" s="140">
        <f>'Revenue Build-Up'!AP26*(1-Assumptions!$C$25)</f>
        <v/>
      </c>
      <c r="AQ5" s="140">
        <f>'Revenue Build-Up'!AQ26*(1-Assumptions!$C$25)</f>
        <v/>
      </c>
      <c r="AR5" s="140">
        <f>'Revenue Build-Up'!AR26*(1-Assumptions!$C$25)</f>
        <v/>
      </c>
      <c r="AS5" s="140">
        <f>'Revenue Build-Up'!AS26*(1-Assumptions!$C$25)</f>
        <v/>
      </c>
      <c r="AT5" s="140">
        <f>'Revenue Build-Up'!AT26*(1-Assumptions!$C$25)</f>
        <v/>
      </c>
      <c r="AU5" s="140">
        <f>'Revenue Build-Up'!AU26*(1-Assumptions!$C$25)</f>
        <v/>
      </c>
      <c r="AV5" s="140">
        <f>'Revenue Build-Up'!AV26*(1-Assumptions!$C$25)</f>
        <v/>
      </c>
      <c r="AW5" s="140">
        <f>'Revenue Build-Up'!AW26*(1-Assumptions!$C$25)</f>
        <v/>
      </c>
      <c r="AX5" s="140">
        <f>'Revenue Build-Up'!AX26*(1-Assumptions!$C$25)</f>
        <v/>
      </c>
      <c r="AY5" s="140">
        <f>'Revenue Build-Up'!AY26*(1-Assumptions!$C$25)</f>
        <v/>
      </c>
      <c r="AZ5" s="140">
        <f>'Revenue Build-Up'!AZ26*(1-Assumptions!$C$25)</f>
        <v/>
      </c>
      <c r="BA5" s="139">
        <f>SUM(AO5:AZ5)</f>
        <v/>
      </c>
      <c r="BB5" s="140">
        <f>'Revenue Build-Up'!BB26*(1-Assumptions!$C$25)</f>
        <v/>
      </c>
      <c r="BC5" s="140">
        <f>'Revenue Build-Up'!BC26*(1-Assumptions!$C$25)</f>
        <v/>
      </c>
      <c r="BD5" s="140">
        <f>'Revenue Build-Up'!BD26*(1-Assumptions!$C$25)</f>
        <v/>
      </c>
      <c r="BE5" s="140">
        <f>'Revenue Build-Up'!BE26*(1-Assumptions!$C$25)</f>
        <v/>
      </c>
      <c r="BF5" s="140">
        <f>'Revenue Build-Up'!BF26*(1-Assumptions!$C$25)</f>
        <v/>
      </c>
      <c r="BG5" s="140">
        <f>'Revenue Build-Up'!BG26*(1-Assumptions!$C$25)</f>
        <v/>
      </c>
      <c r="BH5" s="140">
        <f>'Revenue Build-Up'!BH26*(1-Assumptions!$C$25)</f>
        <v/>
      </c>
      <c r="BI5" s="140">
        <f>'Revenue Build-Up'!BI26*(1-Assumptions!$C$25)</f>
        <v/>
      </c>
      <c r="BJ5" s="140">
        <f>'Revenue Build-Up'!BJ26*(1-Assumptions!$C$25)</f>
        <v/>
      </c>
      <c r="BK5" s="140">
        <f>'Revenue Build-Up'!BK26*(1-Assumptions!$C$25)</f>
        <v/>
      </c>
      <c r="BL5" s="140">
        <f>'Revenue Build-Up'!BL26*(1-Assumptions!$C$25)</f>
        <v/>
      </c>
      <c r="BM5" s="140">
        <f>'Revenue Build-Up'!BM26*(1-Assumptions!$C$25)</f>
        <v/>
      </c>
      <c r="BN5" s="139">
        <f>SUM(BB5:BM5)</f>
        <v/>
      </c>
    </row>
    <row r="6" ht="15" customHeight="1" s="82">
      <c r="A6" s="88">
        <f>IFERROR(VLOOKUP(Assumptions!$J$5,INDUSTRY_MAP,7,FALSE()),"Power &amp; fuel")</f>
        <v/>
      </c>
      <c r="B6" s="140" t="n">
        <v>0</v>
      </c>
      <c r="C6" s="140" t="n">
        <v>0</v>
      </c>
      <c r="D6" s="140" t="n">
        <v>0</v>
      </c>
      <c r="E6" s="140" t="n">
        <v>0</v>
      </c>
      <c r="F6" s="140" t="n">
        <v>0</v>
      </c>
      <c r="G6" s="140" t="n">
        <v>0</v>
      </c>
      <c r="H6" s="140" t="n">
        <v>0</v>
      </c>
      <c r="I6" s="140" t="n">
        <v>0</v>
      </c>
      <c r="J6" s="140" t="n">
        <v>0</v>
      </c>
      <c r="K6" s="140" t="n">
        <v>0</v>
      </c>
      <c r="L6" s="140" t="n">
        <v>0</v>
      </c>
      <c r="M6" s="140" t="n">
        <v>0</v>
      </c>
      <c r="N6" s="139">
        <f>SUM(B6:M6)</f>
        <v/>
      </c>
      <c r="O6" s="140" t="n">
        <v>0</v>
      </c>
      <c r="P6" s="140" t="n">
        <v>0</v>
      </c>
      <c r="Q6" s="140" t="n">
        <v>0</v>
      </c>
      <c r="R6" s="140" t="n">
        <v>0</v>
      </c>
      <c r="S6" s="140" t="n">
        <v>0</v>
      </c>
      <c r="T6" s="140" t="n">
        <v>0</v>
      </c>
      <c r="U6" s="140" t="n">
        <v>0</v>
      </c>
      <c r="V6" s="140" t="n">
        <v>0</v>
      </c>
      <c r="W6" s="140" t="n">
        <v>0</v>
      </c>
      <c r="X6" s="140" t="n">
        <v>0</v>
      </c>
      <c r="Y6" s="140" t="n">
        <v>0</v>
      </c>
      <c r="Z6" s="140" t="n">
        <v>0</v>
      </c>
      <c r="AA6" s="139">
        <f>SUM(O6:Z6)</f>
        <v/>
      </c>
      <c r="AB6" s="140" t="n">
        <v>0</v>
      </c>
      <c r="AC6" s="140" t="n">
        <v>0</v>
      </c>
      <c r="AD6" s="140" t="n">
        <v>0</v>
      </c>
      <c r="AE6" s="140" t="n">
        <v>0</v>
      </c>
      <c r="AF6" s="140" t="n">
        <v>0</v>
      </c>
      <c r="AG6" s="140" t="n">
        <v>0</v>
      </c>
      <c r="AH6" s="140" t="n">
        <v>0</v>
      </c>
      <c r="AI6" s="140" t="n">
        <v>0</v>
      </c>
      <c r="AJ6" s="140" t="n">
        <v>0</v>
      </c>
      <c r="AK6" s="140" t="n">
        <v>0</v>
      </c>
      <c r="AL6" s="140" t="n">
        <v>0</v>
      </c>
      <c r="AM6" s="140" t="n">
        <v>0</v>
      </c>
      <c r="AN6" s="139">
        <f>SUM(AB6:AM6)</f>
        <v/>
      </c>
      <c r="AO6" s="140" t="n">
        <v>0</v>
      </c>
      <c r="AP6" s="140" t="n">
        <v>0</v>
      </c>
      <c r="AQ6" s="140" t="n">
        <v>0</v>
      </c>
      <c r="AR6" s="140" t="n">
        <v>0</v>
      </c>
      <c r="AS6" s="140" t="n">
        <v>0</v>
      </c>
      <c r="AT6" s="140" t="n">
        <v>0</v>
      </c>
      <c r="AU6" s="140" t="n">
        <v>0</v>
      </c>
      <c r="AV6" s="140" t="n">
        <v>0</v>
      </c>
      <c r="AW6" s="140" t="n">
        <v>0</v>
      </c>
      <c r="AX6" s="140" t="n">
        <v>0</v>
      </c>
      <c r="AY6" s="140" t="n">
        <v>0</v>
      </c>
      <c r="AZ6" s="140" t="n">
        <v>0</v>
      </c>
      <c r="BA6" s="139">
        <f>SUM(AO6:AZ6)</f>
        <v/>
      </c>
      <c r="BB6" s="140" t="n">
        <v>0</v>
      </c>
      <c r="BC6" s="140" t="n">
        <v>0</v>
      </c>
      <c r="BD6" s="140" t="n">
        <v>0</v>
      </c>
      <c r="BE6" s="140" t="n">
        <v>0</v>
      </c>
      <c r="BF6" s="140" t="n">
        <v>0</v>
      </c>
      <c r="BG6" s="140" t="n">
        <v>0</v>
      </c>
      <c r="BH6" s="140" t="n">
        <v>0</v>
      </c>
      <c r="BI6" s="140" t="n">
        <v>0</v>
      </c>
      <c r="BJ6" s="140" t="n">
        <v>0</v>
      </c>
      <c r="BK6" s="140" t="n">
        <v>0</v>
      </c>
      <c r="BL6" s="140" t="n">
        <v>0</v>
      </c>
      <c r="BM6" s="140" t="n">
        <v>0</v>
      </c>
      <c r="BN6" s="139">
        <f>SUM(BB6:BM6)</f>
        <v/>
      </c>
    </row>
    <row r="7" ht="15" customHeight="1" s="82">
      <c r="A7" s="88" t="inlineStr">
        <is>
          <t>Direct wages &amp; salaries</t>
        </is>
      </c>
      <c r="B7" s="143">
        <f>Assumptions!$C$32*(1+Assumptions!$C$33)^0</f>
        <v/>
      </c>
      <c r="C7" s="143">
        <f>Assumptions!$C$32*(1+Assumptions!$C$33)^0</f>
        <v/>
      </c>
      <c r="D7" s="143">
        <f>Assumptions!$C$32*(1+Assumptions!$C$33)^0</f>
        <v/>
      </c>
      <c r="E7" s="143">
        <f>Assumptions!$C$32*(1+Assumptions!$C$33)^0</f>
        <v/>
      </c>
      <c r="F7" s="143">
        <f>Assumptions!$C$32*(1+Assumptions!$C$33)^0</f>
        <v/>
      </c>
      <c r="G7" s="143">
        <f>Assumptions!$C$32*(1+Assumptions!$C$33)^0</f>
        <v/>
      </c>
      <c r="H7" s="143">
        <f>Assumptions!$C$32*(1+Assumptions!$C$33)^0</f>
        <v/>
      </c>
      <c r="I7" s="143">
        <f>Assumptions!$C$32*(1+Assumptions!$C$33)^0</f>
        <v/>
      </c>
      <c r="J7" s="143">
        <f>Assumptions!$C$32*(1+Assumptions!$C$33)^0</f>
        <v/>
      </c>
      <c r="K7" s="143">
        <f>Assumptions!$C$32*(1+Assumptions!$C$33)^0</f>
        <v/>
      </c>
      <c r="L7" s="143">
        <f>Assumptions!$C$32*(1+Assumptions!$C$33)^0</f>
        <v/>
      </c>
      <c r="M7" s="143">
        <f>Assumptions!$C$32*(1+Assumptions!$C$33)^0</f>
        <v/>
      </c>
      <c r="N7" s="139">
        <f>SUM(B7:M7)</f>
        <v/>
      </c>
      <c r="O7" s="143">
        <f>Assumptions!$C$32*(1+Assumptions!$C$33)^1</f>
        <v/>
      </c>
      <c r="P7" s="143">
        <f>Assumptions!$C$32*(1+Assumptions!$C$33)^1</f>
        <v/>
      </c>
      <c r="Q7" s="143">
        <f>Assumptions!$C$32*(1+Assumptions!$C$33)^1</f>
        <v/>
      </c>
      <c r="R7" s="143">
        <f>Assumptions!$C$32*(1+Assumptions!$C$33)^1</f>
        <v/>
      </c>
      <c r="S7" s="143">
        <f>Assumptions!$C$32*(1+Assumptions!$C$33)^1</f>
        <v/>
      </c>
      <c r="T7" s="143">
        <f>Assumptions!$C$32*(1+Assumptions!$C$33)^1</f>
        <v/>
      </c>
      <c r="U7" s="143">
        <f>Assumptions!$C$32*(1+Assumptions!$C$33)^1</f>
        <v/>
      </c>
      <c r="V7" s="143">
        <f>Assumptions!$C$32*(1+Assumptions!$C$33)^1</f>
        <v/>
      </c>
      <c r="W7" s="143">
        <f>Assumptions!$C$32*(1+Assumptions!$C$33)^1</f>
        <v/>
      </c>
      <c r="X7" s="143">
        <f>Assumptions!$C$32*(1+Assumptions!$C$33)^1</f>
        <v/>
      </c>
      <c r="Y7" s="143">
        <f>Assumptions!$C$32*(1+Assumptions!$C$33)^1</f>
        <v/>
      </c>
      <c r="Z7" s="143">
        <f>Assumptions!$C$32*(1+Assumptions!$C$33)^1</f>
        <v/>
      </c>
      <c r="AA7" s="139">
        <f>SUM(O7:Z7)</f>
        <v/>
      </c>
      <c r="AB7" s="143">
        <f>Assumptions!$C$32*(1+Assumptions!$C$33)^2</f>
        <v/>
      </c>
      <c r="AC7" s="143">
        <f>Assumptions!$C$32*(1+Assumptions!$C$33)^2</f>
        <v/>
      </c>
      <c r="AD7" s="143">
        <f>Assumptions!$C$32*(1+Assumptions!$C$33)^2</f>
        <v/>
      </c>
      <c r="AE7" s="143">
        <f>Assumptions!$C$32*(1+Assumptions!$C$33)^2</f>
        <v/>
      </c>
      <c r="AF7" s="143">
        <f>Assumptions!$C$32*(1+Assumptions!$C$33)^2</f>
        <v/>
      </c>
      <c r="AG7" s="143">
        <f>Assumptions!$C$32*(1+Assumptions!$C$33)^2</f>
        <v/>
      </c>
      <c r="AH7" s="143">
        <f>Assumptions!$C$32*(1+Assumptions!$C$33)^2</f>
        <v/>
      </c>
      <c r="AI7" s="143">
        <f>Assumptions!$C$32*(1+Assumptions!$C$33)^2</f>
        <v/>
      </c>
      <c r="AJ7" s="143">
        <f>Assumptions!$C$32*(1+Assumptions!$C$33)^2</f>
        <v/>
      </c>
      <c r="AK7" s="143">
        <f>Assumptions!$C$32*(1+Assumptions!$C$33)^2</f>
        <v/>
      </c>
      <c r="AL7" s="143">
        <f>Assumptions!$C$32*(1+Assumptions!$C$33)^2</f>
        <v/>
      </c>
      <c r="AM7" s="143">
        <f>Assumptions!$C$32*(1+Assumptions!$C$33)^2</f>
        <v/>
      </c>
      <c r="AN7" s="139">
        <f>SUM(AB7:AM7)</f>
        <v/>
      </c>
      <c r="AO7" s="143">
        <f>Assumptions!$C$32*(1+Assumptions!$C$33)^3</f>
        <v/>
      </c>
      <c r="AP7" s="143">
        <f>Assumptions!$C$32*(1+Assumptions!$C$33)^3</f>
        <v/>
      </c>
      <c r="AQ7" s="143">
        <f>Assumptions!$C$32*(1+Assumptions!$C$33)^3</f>
        <v/>
      </c>
      <c r="AR7" s="143">
        <f>Assumptions!$C$32*(1+Assumptions!$C$33)^3</f>
        <v/>
      </c>
      <c r="AS7" s="143">
        <f>Assumptions!$C$32*(1+Assumptions!$C$33)^3</f>
        <v/>
      </c>
      <c r="AT7" s="143">
        <f>Assumptions!$C$32*(1+Assumptions!$C$33)^3</f>
        <v/>
      </c>
      <c r="AU7" s="143">
        <f>Assumptions!$C$32*(1+Assumptions!$C$33)^3</f>
        <v/>
      </c>
      <c r="AV7" s="143">
        <f>Assumptions!$C$32*(1+Assumptions!$C$33)^3</f>
        <v/>
      </c>
      <c r="AW7" s="143">
        <f>Assumptions!$C$32*(1+Assumptions!$C$33)^3</f>
        <v/>
      </c>
      <c r="AX7" s="143">
        <f>Assumptions!$C$32*(1+Assumptions!$C$33)^3</f>
        <v/>
      </c>
      <c r="AY7" s="143">
        <f>Assumptions!$C$32*(1+Assumptions!$C$33)^3</f>
        <v/>
      </c>
      <c r="AZ7" s="143">
        <f>Assumptions!$C$32*(1+Assumptions!$C$33)^3</f>
        <v/>
      </c>
      <c r="BA7" s="139">
        <f>SUM(AO7:AZ7)</f>
        <v/>
      </c>
      <c r="BB7" s="143">
        <f>Assumptions!$C$32*(1+Assumptions!$C$33)^4</f>
        <v/>
      </c>
      <c r="BC7" s="143">
        <f>Assumptions!$C$32*(1+Assumptions!$C$33)^4</f>
        <v/>
      </c>
      <c r="BD7" s="143">
        <f>Assumptions!$C$32*(1+Assumptions!$C$33)^4</f>
        <v/>
      </c>
      <c r="BE7" s="143">
        <f>Assumptions!$C$32*(1+Assumptions!$C$33)^4</f>
        <v/>
      </c>
      <c r="BF7" s="143">
        <f>Assumptions!$C$32*(1+Assumptions!$C$33)^4</f>
        <v/>
      </c>
      <c r="BG7" s="143">
        <f>Assumptions!$C$32*(1+Assumptions!$C$33)^4</f>
        <v/>
      </c>
      <c r="BH7" s="143">
        <f>Assumptions!$C$32*(1+Assumptions!$C$33)^4</f>
        <v/>
      </c>
      <c r="BI7" s="143">
        <f>Assumptions!$C$32*(1+Assumptions!$C$33)^4</f>
        <v/>
      </c>
      <c r="BJ7" s="143">
        <f>Assumptions!$C$32*(1+Assumptions!$C$33)^4</f>
        <v/>
      </c>
      <c r="BK7" s="143">
        <f>Assumptions!$C$32*(1+Assumptions!$C$33)^4</f>
        <v/>
      </c>
      <c r="BL7" s="143">
        <f>Assumptions!$C$32*(1+Assumptions!$C$33)^4</f>
        <v/>
      </c>
      <c r="BM7" s="143">
        <f>Assumptions!$C$32*(1+Assumptions!$C$33)^4</f>
        <v/>
      </c>
      <c r="BN7" s="139">
        <f>SUM(BB7:BM7)</f>
        <v/>
      </c>
    </row>
    <row r="8" ht="15" customHeight="1" s="82">
      <c r="A8" s="88" t="inlineStr">
        <is>
          <t>Other variable cost</t>
        </is>
      </c>
      <c r="B8" s="140">
        <f>'Revenue Build-Up'!B6*(Assumptions!$C$29*(1+Assumptions!$C$30)^0)</f>
        <v/>
      </c>
      <c r="C8" s="140">
        <f>'Revenue Build-Up'!C6*(Assumptions!$C$29*(1+Assumptions!$C$30)^0)</f>
        <v/>
      </c>
      <c r="D8" s="140">
        <f>'Revenue Build-Up'!D6*(Assumptions!$C$29*(1+Assumptions!$C$30)^0)</f>
        <v/>
      </c>
      <c r="E8" s="140">
        <f>'Revenue Build-Up'!E6*(Assumptions!$C$29*(1+Assumptions!$C$30)^0)</f>
        <v/>
      </c>
      <c r="F8" s="140">
        <f>'Revenue Build-Up'!F6*(Assumptions!$C$29*(1+Assumptions!$C$30)^0)</f>
        <v/>
      </c>
      <c r="G8" s="140">
        <f>'Revenue Build-Up'!G6*(Assumptions!$C$29*(1+Assumptions!$C$30)^0)</f>
        <v/>
      </c>
      <c r="H8" s="140">
        <f>'Revenue Build-Up'!H6*(Assumptions!$C$29*(1+Assumptions!$C$30)^0)</f>
        <v/>
      </c>
      <c r="I8" s="140">
        <f>'Revenue Build-Up'!I6*(Assumptions!$C$29*(1+Assumptions!$C$30)^0)</f>
        <v/>
      </c>
      <c r="J8" s="140">
        <f>'Revenue Build-Up'!J6*(Assumptions!$C$29*(1+Assumptions!$C$30)^0)</f>
        <v/>
      </c>
      <c r="K8" s="140">
        <f>'Revenue Build-Up'!K6*(Assumptions!$C$29*(1+Assumptions!$C$30)^0)</f>
        <v/>
      </c>
      <c r="L8" s="140">
        <f>'Revenue Build-Up'!L6*(Assumptions!$C$29*(1+Assumptions!$C$30)^0)</f>
        <v/>
      </c>
      <c r="M8" s="140">
        <f>'Revenue Build-Up'!M6*(Assumptions!$C$29*(1+Assumptions!$C$30)^0)</f>
        <v/>
      </c>
      <c r="N8" s="139">
        <f>SUM(B8:M8)</f>
        <v/>
      </c>
      <c r="O8" s="140">
        <f>'Revenue Build-Up'!O6*(Assumptions!$C$29*(1+Assumptions!$C$30)^1)</f>
        <v/>
      </c>
      <c r="P8" s="140">
        <f>'Revenue Build-Up'!P6*(Assumptions!$C$29*(1+Assumptions!$C$30)^1)</f>
        <v/>
      </c>
      <c r="Q8" s="140">
        <f>'Revenue Build-Up'!Q6*(Assumptions!$C$29*(1+Assumptions!$C$30)^1)</f>
        <v/>
      </c>
      <c r="R8" s="140">
        <f>'Revenue Build-Up'!R6*(Assumptions!$C$29*(1+Assumptions!$C$30)^1)</f>
        <v/>
      </c>
      <c r="S8" s="140">
        <f>'Revenue Build-Up'!S6*(Assumptions!$C$29*(1+Assumptions!$C$30)^1)</f>
        <v/>
      </c>
      <c r="T8" s="140">
        <f>'Revenue Build-Up'!T6*(Assumptions!$C$29*(1+Assumptions!$C$30)^1)</f>
        <v/>
      </c>
      <c r="U8" s="140">
        <f>'Revenue Build-Up'!U6*(Assumptions!$C$29*(1+Assumptions!$C$30)^1)</f>
        <v/>
      </c>
      <c r="V8" s="140">
        <f>'Revenue Build-Up'!V6*(Assumptions!$C$29*(1+Assumptions!$C$30)^1)</f>
        <v/>
      </c>
      <c r="W8" s="140">
        <f>'Revenue Build-Up'!W6*(Assumptions!$C$29*(1+Assumptions!$C$30)^1)</f>
        <v/>
      </c>
      <c r="X8" s="140">
        <f>'Revenue Build-Up'!X6*(Assumptions!$C$29*(1+Assumptions!$C$30)^1)</f>
        <v/>
      </c>
      <c r="Y8" s="140">
        <f>'Revenue Build-Up'!Y6*(Assumptions!$C$29*(1+Assumptions!$C$30)^1)</f>
        <v/>
      </c>
      <c r="Z8" s="140">
        <f>'Revenue Build-Up'!Z6*(Assumptions!$C$29*(1+Assumptions!$C$30)^1)</f>
        <v/>
      </c>
      <c r="AA8" s="139">
        <f>SUM(O8:Z8)</f>
        <v/>
      </c>
      <c r="AB8" s="140">
        <f>'Revenue Build-Up'!AB6*(Assumptions!$C$29*(1+Assumptions!$C$30)^2)</f>
        <v/>
      </c>
      <c r="AC8" s="140">
        <f>'Revenue Build-Up'!AC6*(Assumptions!$C$29*(1+Assumptions!$C$30)^2)</f>
        <v/>
      </c>
      <c r="AD8" s="140">
        <f>'Revenue Build-Up'!AD6*(Assumptions!$C$29*(1+Assumptions!$C$30)^2)</f>
        <v/>
      </c>
      <c r="AE8" s="140">
        <f>'Revenue Build-Up'!AE6*(Assumptions!$C$29*(1+Assumptions!$C$30)^2)</f>
        <v/>
      </c>
      <c r="AF8" s="140">
        <f>'Revenue Build-Up'!AF6*(Assumptions!$C$29*(1+Assumptions!$C$30)^2)</f>
        <v/>
      </c>
      <c r="AG8" s="140">
        <f>'Revenue Build-Up'!AG6*(Assumptions!$C$29*(1+Assumptions!$C$30)^2)</f>
        <v/>
      </c>
      <c r="AH8" s="140">
        <f>'Revenue Build-Up'!AH6*(Assumptions!$C$29*(1+Assumptions!$C$30)^2)</f>
        <v/>
      </c>
      <c r="AI8" s="140">
        <f>'Revenue Build-Up'!AI6*(Assumptions!$C$29*(1+Assumptions!$C$30)^2)</f>
        <v/>
      </c>
      <c r="AJ8" s="140">
        <f>'Revenue Build-Up'!AJ6*(Assumptions!$C$29*(1+Assumptions!$C$30)^2)</f>
        <v/>
      </c>
      <c r="AK8" s="140">
        <f>'Revenue Build-Up'!AK6*(Assumptions!$C$29*(1+Assumptions!$C$30)^2)</f>
        <v/>
      </c>
      <c r="AL8" s="140">
        <f>'Revenue Build-Up'!AL6*(Assumptions!$C$29*(1+Assumptions!$C$30)^2)</f>
        <v/>
      </c>
      <c r="AM8" s="140">
        <f>'Revenue Build-Up'!AM6*(Assumptions!$C$29*(1+Assumptions!$C$30)^2)</f>
        <v/>
      </c>
      <c r="AN8" s="139">
        <f>SUM(AB8:AM8)</f>
        <v/>
      </c>
      <c r="AO8" s="140">
        <f>'Revenue Build-Up'!AO6*(Assumptions!$C$29*(1+Assumptions!$C$30)^3)</f>
        <v/>
      </c>
      <c r="AP8" s="140">
        <f>'Revenue Build-Up'!AP6*(Assumptions!$C$29*(1+Assumptions!$C$30)^3)</f>
        <v/>
      </c>
      <c r="AQ8" s="140">
        <f>'Revenue Build-Up'!AQ6*(Assumptions!$C$29*(1+Assumptions!$C$30)^3)</f>
        <v/>
      </c>
      <c r="AR8" s="140">
        <f>'Revenue Build-Up'!AR6*(Assumptions!$C$29*(1+Assumptions!$C$30)^3)</f>
        <v/>
      </c>
      <c r="AS8" s="140">
        <f>'Revenue Build-Up'!AS6*(Assumptions!$C$29*(1+Assumptions!$C$30)^3)</f>
        <v/>
      </c>
      <c r="AT8" s="140">
        <f>'Revenue Build-Up'!AT6*(Assumptions!$C$29*(1+Assumptions!$C$30)^3)</f>
        <v/>
      </c>
      <c r="AU8" s="140">
        <f>'Revenue Build-Up'!AU6*(Assumptions!$C$29*(1+Assumptions!$C$30)^3)</f>
        <v/>
      </c>
      <c r="AV8" s="140">
        <f>'Revenue Build-Up'!AV6*(Assumptions!$C$29*(1+Assumptions!$C$30)^3)</f>
        <v/>
      </c>
      <c r="AW8" s="140">
        <f>'Revenue Build-Up'!AW6*(Assumptions!$C$29*(1+Assumptions!$C$30)^3)</f>
        <v/>
      </c>
      <c r="AX8" s="140">
        <f>'Revenue Build-Up'!AX6*(Assumptions!$C$29*(1+Assumptions!$C$30)^3)</f>
        <v/>
      </c>
      <c r="AY8" s="140">
        <f>'Revenue Build-Up'!AY6*(Assumptions!$C$29*(1+Assumptions!$C$30)^3)</f>
        <v/>
      </c>
      <c r="AZ8" s="140">
        <f>'Revenue Build-Up'!AZ6*(Assumptions!$C$29*(1+Assumptions!$C$30)^3)</f>
        <v/>
      </c>
      <c r="BA8" s="139">
        <f>SUM(AO8:AZ8)</f>
        <v/>
      </c>
      <c r="BB8" s="140">
        <f>'Revenue Build-Up'!BB6*(Assumptions!$C$29*(1+Assumptions!$C$30)^4)</f>
        <v/>
      </c>
      <c r="BC8" s="140">
        <f>'Revenue Build-Up'!BC6*(Assumptions!$C$29*(1+Assumptions!$C$30)^4)</f>
        <v/>
      </c>
      <c r="BD8" s="140">
        <f>'Revenue Build-Up'!BD6*(Assumptions!$C$29*(1+Assumptions!$C$30)^4)</f>
        <v/>
      </c>
      <c r="BE8" s="140">
        <f>'Revenue Build-Up'!BE6*(Assumptions!$C$29*(1+Assumptions!$C$30)^4)</f>
        <v/>
      </c>
      <c r="BF8" s="140">
        <f>'Revenue Build-Up'!BF6*(Assumptions!$C$29*(1+Assumptions!$C$30)^4)</f>
        <v/>
      </c>
      <c r="BG8" s="140">
        <f>'Revenue Build-Up'!BG6*(Assumptions!$C$29*(1+Assumptions!$C$30)^4)</f>
        <v/>
      </c>
      <c r="BH8" s="140">
        <f>'Revenue Build-Up'!BH6*(Assumptions!$C$29*(1+Assumptions!$C$30)^4)</f>
        <v/>
      </c>
      <c r="BI8" s="140">
        <f>'Revenue Build-Up'!BI6*(Assumptions!$C$29*(1+Assumptions!$C$30)^4)</f>
        <v/>
      </c>
      <c r="BJ8" s="140">
        <f>'Revenue Build-Up'!BJ6*(Assumptions!$C$29*(1+Assumptions!$C$30)^4)</f>
        <v/>
      </c>
      <c r="BK8" s="140">
        <f>'Revenue Build-Up'!BK6*(Assumptions!$C$29*(1+Assumptions!$C$30)^4)</f>
        <v/>
      </c>
      <c r="BL8" s="140">
        <f>'Revenue Build-Up'!BL6*(Assumptions!$C$29*(1+Assumptions!$C$30)^4)</f>
        <v/>
      </c>
      <c r="BM8" s="140">
        <f>'Revenue Build-Up'!BM6*(Assumptions!$C$29*(1+Assumptions!$C$30)^4)</f>
        <v/>
      </c>
      <c r="BN8" s="139">
        <f>SUM(BB8:BM8)</f>
        <v/>
      </c>
    </row>
    <row r="9" ht="15" customHeight="1" s="82">
      <c r="A9" s="88">
        <f>IFERROR(VLOOKUP(Assumptions!$J$5,INDUSTRY_MAP,8,FALSE()),"Factory overheads")</f>
        <v/>
      </c>
      <c r="B9" s="143">
        <f>Assumptions!$C$34*(1+Assumptions!$C$35)^0</f>
        <v/>
      </c>
      <c r="C9" s="143">
        <f>Assumptions!$C$34*(1+Assumptions!$C$35)^0</f>
        <v/>
      </c>
      <c r="D9" s="143">
        <f>Assumptions!$C$34*(1+Assumptions!$C$35)^0</f>
        <v/>
      </c>
      <c r="E9" s="143">
        <f>Assumptions!$C$34*(1+Assumptions!$C$35)^0</f>
        <v/>
      </c>
      <c r="F9" s="143">
        <f>Assumptions!$C$34*(1+Assumptions!$C$35)^0</f>
        <v/>
      </c>
      <c r="G9" s="143">
        <f>Assumptions!$C$34*(1+Assumptions!$C$35)^0</f>
        <v/>
      </c>
      <c r="H9" s="143">
        <f>Assumptions!$C$34*(1+Assumptions!$C$35)^0</f>
        <v/>
      </c>
      <c r="I9" s="143">
        <f>Assumptions!$C$34*(1+Assumptions!$C$35)^0</f>
        <v/>
      </c>
      <c r="J9" s="143">
        <f>Assumptions!$C$34*(1+Assumptions!$C$35)^0</f>
        <v/>
      </c>
      <c r="K9" s="143">
        <f>Assumptions!$C$34*(1+Assumptions!$C$35)^0</f>
        <v/>
      </c>
      <c r="L9" s="143">
        <f>Assumptions!$C$34*(1+Assumptions!$C$35)^0</f>
        <v/>
      </c>
      <c r="M9" s="143">
        <f>Assumptions!$C$34*(1+Assumptions!$C$35)^0</f>
        <v/>
      </c>
      <c r="N9" s="139">
        <f>SUM(B9:M9)</f>
        <v/>
      </c>
      <c r="O9" s="143">
        <f>Assumptions!$C$34*(1+Assumptions!$C$35)^1</f>
        <v/>
      </c>
      <c r="P9" s="143">
        <f>Assumptions!$C$34*(1+Assumptions!$C$35)^1</f>
        <v/>
      </c>
      <c r="Q9" s="143">
        <f>Assumptions!$C$34*(1+Assumptions!$C$35)^1</f>
        <v/>
      </c>
      <c r="R9" s="143">
        <f>Assumptions!$C$34*(1+Assumptions!$C$35)^1</f>
        <v/>
      </c>
      <c r="S9" s="143">
        <f>Assumptions!$C$34*(1+Assumptions!$C$35)^1</f>
        <v/>
      </c>
      <c r="T9" s="143">
        <f>Assumptions!$C$34*(1+Assumptions!$C$35)^1</f>
        <v/>
      </c>
      <c r="U9" s="143">
        <f>Assumptions!$C$34*(1+Assumptions!$C$35)^1</f>
        <v/>
      </c>
      <c r="V9" s="143">
        <f>Assumptions!$C$34*(1+Assumptions!$C$35)^1</f>
        <v/>
      </c>
      <c r="W9" s="143">
        <f>Assumptions!$C$34*(1+Assumptions!$C$35)^1</f>
        <v/>
      </c>
      <c r="X9" s="143">
        <f>Assumptions!$C$34*(1+Assumptions!$C$35)^1</f>
        <v/>
      </c>
      <c r="Y9" s="143">
        <f>Assumptions!$C$34*(1+Assumptions!$C$35)^1</f>
        <v/>
      </c>
      <c r="Z9" s="143">
        <f>Assumptions!$C$34*(1+Assumptions!$C$35)^1</f>
        <v/>
      </c>
      <c r="AA9" s="139">
        <f>SUM(O9:Z9)</f>
        <v/>
      </c>
      <c r="AB9" s="143">
        <f>Assumptions!$C$34*(1+Assumptions!$C$35)^2</f>
        <v/>
      </c>
      <c r="AC9" s="143">
        <f>Assumptions!$C$34*(1+Assumptions!$C$35)^2</f>
        <v/>
      </c>
      <c r="AD9" s="143">
        <f>Assumptions!$C$34*(1+Assumptions!$C$35)^2</f>
        <v/>
      </c>
      <c r="AE9" s="143">
        <f>Assumptions!$C$34*(1+Assumptions!$C$35)^2</f>
        <v/>
      </c>
      <c r="AF9" s="143">
        <f>Assumptions!$C$34*(1+Assumptions!$C$35)^2</f>
        <v/>
      </c>
      <c r="AG9" s="143">
        <f>Assumptions!$C$34*(1+Assumptions!$C$35)^2</f>
        <v/>
      </c>
      <c r="AH9" s="143">
        <f>Assumptions!$C$34*(1+Assumptions!$C$35)^2</f>
        <v/>
      </c>
      <c r="AI9" s="143">
        <f>Assumptions!$C$34*(1+Assumptions!$C$35)^2</f>
        <v/>
      </c>
      <c r="AJ9" s="143">
        <f>Assumptions!$C$34*(1+Assumptions!$C$35)^2</f>
        <v/>
      </c>
      <c r="AK9" s="143">
        <f>Assumptions!$C$34*(1+Assumptions!$C$35)^2</f>
        <v/>
      </c>
      <c r="AL9" s="143">
        <f>Assumptions!$C$34*(1+Assumptions!$C$35)^2</f>
        <v/>
      </c>
      <c r="AM9" s="143">
        <f>Assumptions!$C$34*(1+Assumptions!$C$35)^2</f>
        <v/>
      </c>
      <c r="AN9" s="139">
        <f>SUM(AB9:AM9)</f>
        <v/>
      </c>
      <c r="AO9" s="143">
        <f>Assumptions!$C$34*(1+Assumptions!$C$35)^3</f>
        <v/>
      </c>
      <c r="AP9" s="143">
        <f>Assumptions!$C$34*(1+Assumptions!$C$35)^3</f>
        <v/>
      </c>
      <c r="AQ9" s="143">
        <f>Assumptions!$C$34*(1+Assumptions!$C$35)^3</f>
        <v/>
      </c>
      <c r="AR9" s="143">
        <f>Assumptions!$C$34*(1+Assumptions!$C$35)^3</f>
        <v/>
      </c>
      <c r="AS9" s="143">
        <f>Assumptions!$C$34*(1+Assumptions!$C$35)^3</f>
        <v/>
      </c>
      <c r="AT9" s="143">
        <f>Assumptions!$C$34*(1+Assumptions!$C$35)^3</f>
        <v/>
      </c>
      <c r="AU9" s="143">
        <f>Assumptions!$C$34*(1+Assumptions!$C$35)^3</f>
        <v/>
      </c>
      <c r="AV9" s="143">
        <f>Assumptions!$C$34*(1+Assumptions!$C$35)^3</f>
        <v/>
      </c>
      <c r="AW9" s="143">
        <f>Assumptions!$C$34*(1+Assumptions!$C$35)^3</f>
        <v/>
      </c>
      <c r="AX9" s="143">
        <f>Assumptions!$C$34*(1+Assumptions!$C$35)^3</f>
        <v/>
      </c>
      <c r="AY9" s="143">
        <f>Assumptions!$C$34*(1+Assumptions!$C$35)^3</f>
        <v/>
      </c>
      <c r="AZ9" s="143">
        <f>Assumptions!$C$34*(1+Assumptions!$C$35)^3</f>
        <v/>
      </c>
      <c r="BA9" s="139">
        <f>SUM(AO9:AZ9)</f>
        <v/>
      </c>
      <c r="BB9" s="143">
        <f>Assumptions!$C$34*(1+Assumptions!$C$35)^4</f>
        <v/>
      </c>
      <c r="BC9" s="143">
        <f>Assumptions!$C$34*(1+Assumptions!$C$35)^4</f>
        <v/>
      </c>
      <c r="BD9" s="143">
        <f>Assumptions!$C$34*(1+Assumptions!$C$35)^4</f>
        <v/>
      </c>
      <c r="BE9" s="143">
        <f>Assumptions!$C$34*(1+Assumptions!$C$35)^4</f>
        <v/>
      </c>
      <c r="BF9" s="143">
        <f>Assumptions!$C$34*(1+Assumptions!$C$35)^4</f>
        <v/>
      </c>
      <c r="BG9" s="143">
        <f>Assumptions!$C$34*(1+Assumptions!$C$35)^4</f>
        <v/>
      </c>
      <c r="BH9" s="143">
        <f>Assumptions!$C$34*(1+Assumptions!$C$35)^4</f>
        <v/>
      </c>
      <c r="BI9" s="143">
        <f>Assumptions!$C$34*(1+Assumptions!$C$35)^4</f>
        <v/>
      </c>
      <c r="BJ9" s="143">
        <f>Assumptions!$C$34*(1+Assumptions!$C$35)^4</f>
        <v/>
      </c>
      <c r="BK9" s="143">
        <f>Assumptions!$C$34*(1+Assumptions!$C$35)^4</f>
        <v/>
      </c>
      <c r="BL9" s="143">
        <f>Assumptions!$C$34*(1+Assumptions!$C$35)^4</f>
        <v/>
      </c>
      <c r="BM9" s="143">
        <f>Assumptions!$C$34*(1+Assumptions!$C$35)^4</f>
        <v/>
      </c>
      <c r="BN9" s="139">
        <f>SUM(BB9:BM9)</f>
        <v/>
      </c>
    </row>
    <row r="10" ht="15" customHeight="1" s="82">
      <c r="A10" s="88" t="inlineStr">
        <is>
          <t>Repairs &amp; maintenance</t>
        </is>
      </c>
      <c r="B10" s="143">
        <f>Assumptions!$C$36*(1+Assumptions!$C$37)^0</f>
        <v/>
      </c>
      <c r="C10" s="143">
        <f>Assumptions!$C$36*(1+Assumptions!$C$37)^0</f>
        <v/>
      </c>
      <c r="D10" s="143">
        <f>Assumptions!$C$36*(1+Assumptions!$C$37)^0</f>
        <v/>
      </c>
      <c r="E10" s="143">
        <f>Assumptions!$C$36*(1+Assumptions!$C$37)^0</f>
        <v/>
      </c>
      <c r="F10" s="143">
        <f>Assumptions!$C$36*(1+Assumptions!$C$37)^0</f>
        <v/>
      </c>
      <c r="G10" s="143">
        <f>Assumptions!$C$36*(1+Assumptions!$C$37)^0</f>
        <v/>
      </c>
      <c r="H10" s="143">
        <f>Assumptions!$C$36*(1+Assumptions!$C$37)^0</f>
        <v/>
      </c>
      <c r="I10" s="143">
        <f>Assumptions!$C$36*(1+Assumptions!$C$37)^0</f>
        <v/>
      </c>
      <c r="J10" s="143">
        <f>Assumptions!$C$36*(1+Assumptions!$C$37)^0</f>
        <v/>
      </c>
      <c r="K10" s="143">
        <f>Assumptions!$C$36*(1+Assumptions!$C$37)^0</f>
        <v/>
      </c>
      <c r="L10" s="143">
        <f>Assumptions!$C$36*(1+Assumptions!$C$37)^0</f>
        <v/>
      </c>
      <c r="M10" s="143">
        <f>Assumptions!$C$36*(1+Assumptions!$C$37)^0</f>
        <v/>
      </c>
      <c r="N10" s="139">
        <f>SUM(B10:M10)</f>
        <v/>
      </c>
      <c r="O10" s="143">
        <f>Assumptions!$C$36*(1+Assumptions!$C$37)^1</f>
        <v/>
      </c>
      <c r="P10" s="143">
        <f>Assumptions!$C$36*(1+Assumptions!$C$37)^1</f>
        <v/>
      </c>
      <c r="Q10" s="143">
        <f>Assumptions!$C$36*(1+Assumptions!$C$37)^1</f>
        <v/>
      </c>
      <c r="R10" s="143">
        <f>Assumptions!$C$36*(1+Assumptions!$C$37)^1</f>
        <v/>
      </c>
      <c r="S10" s="143">
        <f>Assumptions!$C$36*(1+Assumptions!$C$37)^1</f>
        <v/>
      </c>
      <c r="T10" s="143">
        <f>Assumptions!$C$36*(1+Assumptions!$C$37)^1</f>
        <v/>
      </c>
      <c r="U10" s="143">
        <f>Assumptions!$C$36*(1+Assumptions!$C$37)^1</f>
        <v/>
      </c>
      <c r="V10" s="143">
        <f>Assumptions!$C$36*(1+Assumptions!$C$37)^1</f>
        <v/>
      </c>
      <c r="W10" s="143">
        <f>Assumptions!$C$36*(1+Assumptions!$C$37)^1</f>
        <v/>
      </c>
      <c r="X10" s="143">
        <f>Assumptions!$C$36*(1+Assumptions!$C$37)^1</f>
        <v/>
      </c>
      <c r="Y10" s="143">
        <f>Assumptions!$C$36*(1+Assumptions!$C$37)^1</f>
        <v/>
      </c>
      <c r="Z10" s="143">
        <f>Assumptions!$C$36*(1+Assumptions!$C$37)^1</f>
        <v/>
      </c>
      <c r="AA10" s="139">
        <f>SUM(O10:Z10)</f>
        <v/>
      </c>
      <c r="AB10" s="143">
        <f>Assumptions!$C$36*(1+Assumptions!$C$37)^2</f>
        <v/>
      </c>
      <c r="AC10" s="143">
        <f>Assumptions!$C$36*(1+Assumptions!$C$37)^2</f>
        <v/>
      </c>
      <c r="AD10" s="143">
        <f>Assumptions!$C$36*(1+Assumptions!$C$37)^2</f>
        <v/>
      </c>
      <c r="AE10" s="143">
        <f>Assumptions!$C$36*(1+Assumptions!$C$37)^2</f>
        <v/>
      </c>
      <c r="AF10" s="143">
        <f>Assumptions!$C$36*(1+Assumptions!$C$37)^2</f>
        <v/>
      </c>
      <c r="AG10" s="143">
        <f>Assumptions!$C$36*(1+Assumptions!$C$37)^2</f>
        <v/>
      </c>
      <c r="AH10" s="143">
        <f>Assumptions!$C$36*(1+Assumptions!$C$37)^2</f>
        <v/>
      </c>
      <c r="AI10" s="143">
        <f>Assumptions!$C$36*(1+Assumptions!$C$37)^2</f>
        <v/>
      </c>
      <c r="AJ10" s="143">
        <f>Assumptions!$C$36*(1+Assumptions!$C$37)^2</f>
        <v/>
      </c>
      <c r="AK10" s="143">
        <f>Assumptions!$C$36*(1+Assumptions!$C$37)^2</f>
        <v/>
      </c>
      <c r="AL10" s="143">
        <f>Assumptions!$C$36*(1+Assumptions!$C$37)^2</f>
        <v/>
      </c>
      <c r="AM10" s="143">
        <f>Assumptions!$C$36*(1+Assumptions!$C$37)^2</f>
        <v/>
      </c>
      <c r="AN10" s="139">
        <f>SUM(AB10:AM10)</f>
        <v/>
      </c>
      <c r="AO10" s="143">
        <f>Assumptions!$C$36*(1+Assumptions!$C$37)^3</f>
        <v/>
      </c>
      <c r="AP10" s="143">
        <f>Assumptions!$C$36*(1+Assumptions!$C$37)^3</f>
        <v/>
      </c>
      <c r="AQ10" s="143">
        <f>Assumptions!$C$36*(1+Assumptions!$C$37)^3</f>
        <v/>
      </c>
      <c r="AR10" s="143">
        <f>Assumptions!$C$36*(1+Assumptions!$C$37)^3</f>
        <v/>
      </c>
      <c r="AS10" s="143">
        <f>Assumptions!$C$36*(1+Assumptions!$C$37)^3</f>
        <v/>
      </c>
      <c r="AT10" s="143">
        <f>Assumptions!$C$36*(1+Assumptions!$C$37)^3</f>
        <v/>
      </c>
      <c r="AU10" s="143">
        <f>Assumptions!$C$36*(1+Assumptions!$C$37)^3</f>
        <v/>
      </c>
      <c r="AV10" s="143">
        <f>Assumptions!$C$36*(1+Assumptions!$C$37)^3</f>
        <v/>
      </c>
      <c r="AW10" s="143">
        <f>Assumptions!$C$36*(1+Assumptions!$C$37)^3</f>
        <v/>
      </c>
      <c r="AX10" s="143">
        <f>Assumptions!$C$36*(1+Assumptions!$C$37)^3</f>
        <v/>
      </c>
      <c r="AY10" s="143">
        <f>Assumptions!$C$36*(1+Assumptions!$C$37)^3</f>
        <v/>
      </c>
      <c r="AZ10" s="143">
        <f>Assumptions!$C$36*(1+Assumptions!$C$37)^3</f>
        <v/>
      </c>
      <c r="BA10" s="139">
        <f>SUM(AO10:AZ10)</f>
        <v/>
      </c>
      <c r="BB10" s="143">
        <f>Assumptions!$C$36*(1+Assumptions!$C$37)^4</f>
        <v/>
      </c>
      <c r="BC10" s="143">
        <f>Assumptions!$C$36*(1+Assumptions!$C$37)^4</f>
        <v/>
      </c>
      <c r="BD10" s="143">
        <f>Assumptions!$C$36*(1+Assumptions!$C$37)^4</f>
        <v/>
      </c>
      <c r="BE10" s="143">
        <f>Assumptions!$C$36*(1+Assumptions!$C$37)^4</f>
        <v/>
      </c>
      <c r="BF10" s="143">
        <f>Assumptions!$C$36*(1+Assumptions!$C$37)^4</f>
        <v/>
      </c>
      <c r="BG10" s="143">
        <f>Assumptions!$C$36*(1+Assumptions!$C$37)^4</f>
        <v/>
      </c>
      <c r="BH10" s="143">
        <f>Assumptions!$C$36*(1+Assumptions!$C$37)^4</f>
        <v/>
      </c>
      <c r="BI10" s="143">
        <f>Assumptions!$C$36*(1+Assumptions!$C$37)^4</f>
        <v/>
      </c>
      <c r="BJ10" s="143">
        <f>Assumptions!$C$36*(1+Assumptions!$C$37)^4</f>
        <v/>
      </c>
      <c r="BK10" s="143">
        <f>Assumptions!$C$36*(1+Assumptions!$C$37)^4</f>
        <v/>
      </c>
      <c r="BL10" s="143">
        <f>Assumptions!$C$36*(1+Assumptions!$C$37)^4</f>
        <v/>
      </c>
      <c r="BM10" s="143">
        <f>Assumptions!$C$36*(1+Assumptions!$C$37)^4</f>
        <v/>
      </c>
      <c r="BN10" s="139">
        <f>SUM(BB10:BM10)</f>
        <v/>
      </c>
    </row>
    <row r="11" ht="15" customHeight="1" s="82">
      <c r="A11" s="88" t="inlineStr">
        <is>
          <t>Administrative expenses</t>
        </is>
      </c>
      <c r="B11" s="143">
        <f>Assumptions!$C$38*(1+Assumptions!$C$39)^0</f>
        <v/>
      </c>
      <c r="C11" s="143">
        <f>Assumptions!$C$38*(1+Assumptions!$C$39)^0</f>
        <v/>
      </c>
      <c r="D11" s="143">
        <f>Assumptions!$C$38*(1+Assumptions!$C$39)^0</f>
        <v/>
      </c>
      <c r="E11" s="143">
        <f>Assumptions!$C$38*(1+Assumptions!$C$39)^0</f>
        <v/>
      </c>
      <c r="F11" s="143">
        <f>Assumptions!$C$38*(1+Assumptions!$C$39)^0</f>
        <v/>
      </c>
      <c r="G11" s="143">
        <f>Assumptions!$C$38*(1+Assumptions!$C$39)^0</f>
        <v/>
      </c>
      <c r="H11" s="143">
        <f>Assumptions!$C$38*(1+Assumptions!$C$39)^0</f>
        <v/>
      </c>
      <c r="I11" s="143">
        <f>Assumptions!$C$38*(1+Assumptions!$C$39)^0</f>
        <v/>
      </c>
      <c r="J11" s="143">
        <f>Assumptions!$C$38*(1+Assumptions!$C$39)^0</f>
        <v/>
      </c>
      <c r="K11" s="143">
        <f>Assumptions!$C$38*(1+Assumptions!$C$39)^0</f>
        <v/>
      </c>
      <c r="L11" s="143">
        <f>Assumptions!$C$38*(1+Assumptions!$C$39)^0</f>
        <v/>
      </c>
      <c r="M11" s="143">
        <f>Assumptions!$C$38*(1+Assumptions!$C$39)^0</f>
        <v/>
      </c>
      <c r="N11" s="139">
        <f>SUM(B11:M11)</f>
        <v/>
      </c>
      <c r="O11" s="143">
        <f>Assumptions!$C$38*(1+Assumptions!$C$39)^1</f>
        <v/>
      </c>
      <c r="P11" s="143">
        <f>Assumptions!$C$38*(1+Assumptions!$C$39)^1</f>
        <v/>
      </c>
      <c r="Q11" s="143">
        <f>Assumptions!$C$38*(1+Assumptions!$C$39)^1</f>
        <v/>
      </c>
      <c r="R11" s="143">
        <f>Assumptions!$C$38*(1+Assumptions!$C$39)^1</f>
        <v/>
      </c>
      <c r="S11" s="143">
        <f>Assumptions!$C$38*(1+Assumptions!$C$39)^1</f>
        <v/>
      </c>
      <c r="T11" s="143">
        <f>Assumptions!$C$38*(1+Assumptions!$C$39)^1</f>
        <v/>
      </c>
      <c r="U11" s="143">
        <f>Assumptions!$C$38*(1+Assumptions!$C$39)^1</f>
        <v/>
      </c>
      <c r="V11" s="143">
        <f>Assumptions!$C$38*(1+Assumptions!$C$39)^1</f>
        <v/>
      </c>
      <c r="W11" s="143">
        <f>Assumptions!$C$38*(1+Assumptions!$C$39)^1</f>
        <v/>
      </c>
      <c r="X11" s="143">
        <f>Assumptions!$C$38*(1+Assumptions!$C$39)^1</f>
        <v/>
      </c>
      <c r="Y11" s="143">
        <f>Assumptions!$C$38*(1+Assumptions!$C$39)^1</f>
        <v/>
      </c>
      <c r="Z11" s="143">
        <f>Assumptions!$C$38*(1+Assumptions!$C$39)^1</f>
        <v/>
      </c>
      <c r="AA11" s="139">
        <f>SUM(O11:Z11)</f>
        <v/>
      </c>
      <c r="AB11" s="143">
        <f>Assumptions!$C$38*(1+Assumptions!$C$39)^2</f>
        <v/>
      </c>
      <c r="AC11" s="143">
        <f>Assumptions!$C$38*(1+Assumptions!$C$39)^2</f>
        <v/>
      </c>
      <c r="AD11" s="143">
        <f>Assumptions!$C$38*(1+Assumptions!$C$39)^2</f>
        <v/>
      </c>
      <c r="AE11" s="143">
        <f>Assumptions!$C$38*(1+Assumptions!$C$39)^2</f>
        <v/>
      </c>
      <c r="AF11" s="143">
        <f>Assumptions!$C$38*(1+Assumptions!$C$39)^2</f>
        <v/>
      </c>
      <c r="AG11" s="143">
        <f>Assumptions!$C$38*(1+Assumptions!$C$39)^2</f>
        <v/>
      </c>
      <c r="AH11" s="143">
        <f>Assumptions!$C$38*(1+Assumptions!$C$39)^2</f>
        <v/>
      </c>
      <c r="AI11" s="143">
        <f>Assumptions!$C$38*(1+Assumptions!$C$39)^2</f>
        <v/>
      </c>
      <c r="AJ11" s="143">
        <f>Assumptions!$C$38*(1+Assumptions!$C$39)^2</f>
        <v/>
      </c>
      <c r="AK11" s="143">
        <f>Assumptions!$C$38*(1+Assumptions!$C$39)^2</f>
        <v/>
      </c>
      <c r="AL11" s="143">
        <f>Assumptions!$C$38*(1+Assumptions!$C$39)^2</f>
        <v/>
      </c>
      <c r="AM11" s="143">
        <f>Assumptions!$C$38*(1+Assumptions!$C$39)^2</f>
        <v/>
      </c>
      <c r="AN11" s="139">
        <f>SUM(AB11:AM11)</f>
        <v/>
      </c>
      <c r="AO11" s="143">
        <f>Assumptions!$C$38*(1+Assumptions!$C$39)^3</f>
        <v/>
      </c>
      <c r="AP11" s="143">
        <f>Assumptions!$C$38*(1+Assumptions!$C$39)^3</f>
        <v/>
      </c>
      <c r="AQ11" s="143">
        <f>Assumptions!$C$38*(1+Assumptions!$C$39)^3</f>
        <v/>
      </c>
      <c r="AR11" s="143">
        <f>Assumptions!$C$38*(1+Assumptions!$C$39)^3</f>
        <v/>
      </c>
      <c r="AS11" s="143">
        <f>Assumptions!$C$38*(1+Assumptions!$C$39)^3</f>
        <v/>
      </c>
      <c r="AT11" s="143">
        <f>Assumptions!$C$38*(1+Assumptions!$C$39)^3</f>
        <v/>
      </c>
      <c r="AU11" s="143">
        <f>Assumptions!$C$38*(1+Assumptions!$C$39)^3</f>
        <v/>
      </c>
      <c r="AV11" s="143">
        <f>Assumptions!$C$38*(1+Assumptions!$C$39)^3</f>
        <v/>
      </c>
      <c r="AW11" s="143">
        <f>Assumptions!$C$38*(1+Assumptions!$C$39)^3</f>
        <v/>
      </c>
      <c r="AX11" s="143">
        <f>Assumptions!$C$38*(1+Assumptions!$C$39)^3</f>
        <v/>
      </c>
      <c r="AY11" s="143">
        <f>Assumptions!$C$38*(1+Assumptions!$C$39)^3</f>
        <v/>
      </c>
      <c r="AZ11" s="143">
        <f>Assumptions!$C$38*(1+Assumptions!$C$39)^3</f>
        <v/>
      </c>
      <c r="BA11" s="139">
        <f>SUM(AO11:AZ11)</f>
        <v/>
      </c>
      <c r="BB11" s="143">
        <f>Assumptions!$C$38*(1+Assumptions!$C$39)^4</f>
        <v/>
      </c>
      <c r="BC11" s="143">
        <f>Assumptions!$C$38*(1+Assumptions!$C$39)^4</f>
        <v/>
      </c>
      <c r="BD11" s="143">
        <f>Assumptions!$C$38*(1+Assumptions!$C$39)^4</f>
        <v/>
      </c>
      <c r="BE11" s="143">
        <f>Assumptions!$C$38*(1+Assumptions!$C$39)^4</f>
        <v/>
      </c>
      <c r="BF11" s="143">
        <f>Assumptions!$C$38*(1+Assumptions!$C$39)^4</f>
        <v/>
      </c>
      <c r="BG11" s="143">
        <f>Assumptions!$C$38*(1+Assumptions!$C$39)^4</f>
        <v/>
      </c>
      <c r="BH11" s="143">
        <f>Assumptions!$C$38*(1+Assumptions!$C$39)^4</f>
        <v/>
      </c>
      <c r="BI11" s="143">
        <f>Assumptions!$C$38*(1+Assumptions!$C$39)^4</f>
        <v/>
      </c>
      <c r="BJ11" s="143">
        <f>Assumptions!$C$38*(1+Assumptions!$C$39)^4</f>
        <v/>
      </c>
      <c r="BK11" s="143">
        <f>Assumptions!$C$38*(1+Assumptions!$C$39)^4</f>
        <v/>
      </c>
      <c r="BL11" s="143">
        <f>Assumptions!$C$38*(1+Assumptions!$C$39)^4</f>
        <v/>
      </c>
      <c r="BM11" s="143">
        <f>Assumptions!$C$38*(1+Assumptions!$C$39)^4</f>
        <v/>
      </c>
      <c r="BN11" s="139">
        <f>SUM(BB11:BM11)</f>
        <v/>
      </c>
    </row>
    <row r="12" ht="15" customHeight="1" s="82">
      <c r="A12" s="88" t="inlineStr">
        <is>
          <t>Selling &amp; distribution</t>
        </is>
      </c>
      <c r="B12" s="140">
        <f>'Revenue Build-Up'!B26*Assumptions!$C$40</f>
        <v/>
      </c>
      <c r="C12" s="140">
        <f>'Revenue Build-Up'!C26*Assumptions!$C$40</f>
        <v/>
      </c>
      <c r="D12" s="140">
        <f>'Revenue Build-Up'!D26*Assumptions!$C$40</f>
        <v/>
      </c>
      <c r="E12" s="140">
        <f>'Revenue Build-Up'!E26*Assumptions!$C$40</f>
        <v/>
      </c>
      <c r="F12" s="140">
        <f>'Revenue Build-Up'!F26*Assumptions!$C$40</f>
        <v/>
      </c>
      <c r="G12" s="140">
        <f>'Revenue Build-Up'!G26*Assumptions!$C$40</f>
        <v/>
      </c>
      <c r="H12" s="140">
        <f>'Revenue Build-Up'!H26*Assumptions!$C$40</f>
        <v/>
      </c>
      <c r="I12" s="140">
        <f>'Revenue Build-Up'!I26*Assumptions!$C$40</f>
        <v/>
      </c>
      <c r="J12" s="140">
        <f>'Revenue Build-Up'!J26*Assumptions!$C$40</f>
        <v/>
      </c>
      <c r="K12" s="140">
        <f>'Revenue Build-Up'!K26*Assumptions!$C$40</f>
        <v/>
      </c>
      <c r="L12" s="140">
        <f>'Revenue Build-Up'!L26*Assumptions!$C$40</f>
        <v/>
      </c>
      <c r="M12" s="140">
        <f>'Revenue Build-Up'!M26*Assumptions!$C$40</f>
        <v/>
      </c>
      <c r="N12" s="139">
        <f>SUM(B12:M12)</f>
        <v/>
      </c>
      <c r="O12" s="140">
        <f>'Revenue Build-Up'!O26*Assumptions!$C$40</f>
        <v/>
      </c>
      <c r="P12" s="140">
        <f>'Revenue Build-Up'!P26*Assumptions!$C$40</f>
        <v/>
      </c>
      <c r="Q12" s="140">
        <f>'Revenue Build-Up'!Q26*Assumptions!$C$40</f>
        <v/>
      </c>
      <c r="R12" s="140">
        <f>'Revenue Build-Up'!R26*Assumptions!$C$40</f>
        <v/>
      </c>
      <c r="S12" s="140">
        <f>'Revenue Build-Up'!S26*Assumptions!$C$40</f>
        <v/>
      </c>
      <c r="T12" s="140">
        <f>'Revenue Build-Up'!T26*Assumptions!$C$40</f>
        <v/>
      </c>
      <c r="U12" s="140">
        <f>'Revenue Build-Up'!U26*Assumptions!$C$40</f>
        <v/>
      </c>
      <c r="V12" s="140">
        <f>'Revenue Build-Up'!V26*Assumptions!$C$40</f>
        <v/>
      </c>
      <c r="W12" s="140">
        <f>'Revenue Build-Up'!W26*Assumptions!$C$40</f>
        <v/>
      </c>
      <c r="X12" s="140">
        <f>'Revenue Build-Up'!X26*Assumptions!$C$40</f>
        <v/>
      </c>
      <c r="Y12" s="140">
        <f>'Revenue Build-Up'!Y26*Assumptions!$C$40</f>
        <v/>
      </c>
      <c r="Z12" s="140">
        <f>'Revenue Build-Up'!Z26*Assumptions!$C$40</f>
        <v/>
      </c>
      <c r="AA12" s="139">
        <f>SUM(O12:Z12)</f>
        <v/>
      </c>
      <c r="AB12" s="140">
        <f>'Revenue Build-Up'!AB26*Assumptions!$C$40</f>
        <v/>
      </c>
      <c r="AC12" s="140">
        <f>'Revenue Build-Up'!AC26*Assumptions!$C$40</f>
        <v/>
      </c>
      <c r="AD12" s="140">
        <f>'Revenue Build-Up'!AD26*Assumptions!$C$40</f>
        <v/>
      </c>
      <c r="AE12" s="140">
        <f>'Revenue Build-Up'!AE26*Assumptions!$C$40</f>
        <v/>
      </c>
      <c r="AF12" s="140">
        <f>'Revenue Build-Up'!AF26*Assumptions!$C$40</f>
        <v/>
      </c>
      <c r="AG12" s="140">
        <f>'Revenue Build-Up'!AG26*Assumptions!$C$40</f>
        <v/>
      </c>
      <c r="AH12" s="140">
        <f>'Revenue Build-Up'!AH26*Assumptions!$C$40</f>
        <v/>
      </c>
      <c r="AI12" s="140">
        <f>'Revenue Build-Up'!AI26*Assumptions!$C$40</f>
        <v/>
      </c>
      <c r="AJ12" s="140">
        <f>'Revenue Build-Up'!AJ26*Assumptions!$C$40</f>
        <v/>
      </c>
      <c r="AK12" s="140">
        <f>'Revenue Build-Up'!AK26*Assumptions!$C$40</f>
        <v/>
      </c>
      <c r="AL12" s="140">
        <f>'Revenue Build-Up'!AL26*Assumptions!$C$40</f>
        <v/>
      </c>
      <c r="AM12" s="140">
        <f>'Revenue Build-Up'!AM26*Assumptions!$C$40</f>
        <v/>
      </c>
      <c r="AN12" s="139">
        <f>SUM(AB12:AM12)</f>
        <v/>
      </c>
      <c r="AO12" s="140">
        <f>'Revenue Build-Up'!AO26*Assumptions!$C$40</f>
        <v/>
      </c>
      <c r="AP12" s="140">
        <f>'Revenue Build-Up'!AP26*Assumptions!$C$40</f>
        <v/>
      </c>
      <c r="AQ12" s="140">
        <f>'Revenue Build-Up'!AQ26*Assumptions!$C$40</f>
        <v/>
      </c>
      <c r="AR12" s="140">
        <f>'Revenue Build-Up'!AR26*Assumptions!$C$40</f>
        <v/>
      </c>
      <c r="AS12" s="140">
        <f>'Revenue Build-Up'!AS26*Assumptions!$C$40</f>
        <v/>
      </c>
      <c r="AT12" s="140">
        <f>'Revenue Build-Up'!AT26*Assumptions!$C$40</f>
        <v/>
      </c>
      <c r="AU12" s="140">
        <f>'Revenue Build-Up'!AU26*Assumptions!$C$40</f>
        <v/>
      </c>
      <c r="AV12" s="140">
        <f>'Revenue Build-Up'!AV26*Assumptions!$C$40</f>
        <v/>
      </c>
      <c r="AW12" s="140">
        <f>'Revenue Build-Up'!AW26*Assumptions!$C$40</f>
        <v/>
      </c>
      <c r="AX12" s="140">
        <f>'Revenue Build-Up'!AX26*Assumptions!$C$40</f>
        <v/>
      </c>
      <c r="AY12" s="140">
        <f>'Revenue Build-Up'!AY26*Assumptions!$C$40</f>
        <v/>
      </c>
      <c r="AZ12" s="140">
        <f>'Revenue Build-Up'!AZ26*Assumptions!$C$40</f>
        <v/>
      </c>
      <c r="BA12" s="139">
        <f>SUM(AO12:AZ12)</f>
        <v/>
      </c>
      <c r="BB12" s="140">
        <f>'Revenue Build-Up'!BB26*Assumptions!$C$40</f>
        <v/>
      </c>
      <c r="BC12" s="140">
        <f>'Revenue Build-Up'!BC26*Assumptions!$C$40</f>
        <v/>
      </c>
      <c r="BD12" s="140">
        <f>'Revenue Build-Up'!BD26*Assumptions!$C$40</f>
        <v/>
      </c>
      <c r="BE12" s="140">
        <f>'Revenue Build-Up'!BE26*Assumptions!$C$40</f>
        <v/>
      </c>
      <c r="BF12" s="140">
        <f>'Revenue Build-Up'!BF26*Assumptions!$C$40</f>
        <v/>
      </c>
      <c r="BG12" s="140">
        <f>'Revenue Build-Up'!BG26*Assumptions!$C$40</f>
        <v/>
      </c>
      <c r="BH12" s="140">
        <f>'Revenue Build-Up'!BH26*Assumptions!$C$40</f>
        <v/>
      </c>
      <c r="BI12" s="140">
        <f>'Revenue Build-Up'!BI26*Assumptions!$C$40</f>
        <v/>
      </c>
      <c r="BJ12" s="140">
        <f>'Revenue Build-Up'!BJ26*Assumptions!$C$40</f>
        <v/>
      </c>
      <c r="BK12" s="140">
        <f>'Revenue Build-Up'!BK26*Assumptions!$C$40</f>
        <v/>
      </c>
      <c r="BL12" s="140">
        <f>'Revenue Build-Up'!BL26*Assumptions!$C$40</f>
        <v/>
      </c>
      <c r="BM12" s="140">
        <f>'Revenue Build-Up'!BM26*Assumptions!$C$40</f>
        <v/>
      </c>
      <c r="BN12" s="139">
        <f>SUM(BB12:BM12)</f>
        <v/>
      </c>
    </row>
    <row r="13" ht="15" customHeight="1" s="82">
      <c r="A13" s="88" t="inlineStr">
        <is>
          <t>Depreciation</t>
        </is>
      </c>
      <c r="B13" s="143">
        <f>(Assumptions!$C$43*Assumptions!$C$44+Assumptions!$C$45*Assumptions!$C$46+Assumptions!$C$47*Assumptions!$C$48)/12</f>
        <v/>
      </c>
      <c r="C13" s="143">
        <f>(Assumptions!$C$43*Assumptions!$C$44+Assumptions!$C$45*Assumptions!$C$46+Assumptions!$C$47*Assumptions!$C$48)/12</f>
        <v/>
      </c>
      <c r="D13" s="143">
        <f>(Assumptions!$C$43*Assumptions!$C$44+Assumptions!$C$45*Assumptions!$C$46+Assumptions!$C$47*Assumptions!$C$48)/12</f>
        <v/>
      </c>
      <c r="E13" s="143">
        <f>(Assumptions!$C$43*Assumptions!$C$44+Assumptions!$C$45*Assumptions!$C$46+Assumptions!$C$47*Assumptions!$C$48)/12</f>
        <v/>
      </c>
      <c r="F13" s="143">
        <f>(Assumptions!$C$43*Assumptions!$C$44+Assumptions!$C$45*Assumptions!$C$46+Assumptions!$C$47*Assumptions!$C$48)/12</f>
        <v/>
      </c>
      <c r="G13" s="143">
        <f>(Assumptions!$C$43*Assumptions!$C$44+Assumptions!$C$45*Assumptions!$C$46+Assumptions!$C$47*Assumptions!$C$48)/12</f>
        <v/>
      </c>
      <c r="H13" s="143">
        <f>(Assumptions!$C$43*Assumptions!$C$44+Assumptions!$C$45*Assumptions!$C$46+Assumptions!$C$47*Assumptions!$C$48)/12</f>
        <v/>
      </c>
      <c r="I13" s="143">
        <f>(Assumptions!$C$43*Assumptions!$C$44+Assumptions!$C$45*Assumptions!$C$46+Assumptions!$C$47*Assumptions!$C$48)/12</f>
        <v/>
      </c>
      <c r="J13" s="143">
        <f>(Assumptions!$C$43*Assumptions!$C$44+Assumptions!$C$45*Assumptions!$C$46+Assumptions!$C$47*Assumptions!$C$48)/12</f>
        <v/>
      </c>
      <c r="K13" s="143">
        <f>(Assumptions!$C$43*Assumptions!$C$44+Assumptions!$C$45*Assumptions!$C$46+Assumptions!$C$47*Assumptions!$C$48)/12</f>
        <v/>
      </c>
      <c r="L13" s="143">
        <f>(Assumptions!$C$43*Assumptions!$C$44+Assumptions!$C$45*Assumptions!$C$46+Assumptions!$C$47*Assumptions!$C$48)/12</f>
        <v/>
      </c>
      <c r="M13" s="143">
        <f>(Assumptions!$C$43*Assumptions!$C$44+Assumptions!$C$45*Assumptions!$C$46+Assumptions!$C$47*Assumptions!$C$48)/12</f>
        <v/>
      </c>
      <c r="N13" s="139">
        <f>SUM(B13:M13)</f>
        <v/>
      </c>
      <c r="O13" s="143">
        <f>(Assumptions!$C$43*Assumptions!$C$44+Assumptions!$C$45*Assumptions!$C$46+Assumptions!$C$47*Assumptions!$C$48)/12</f>
        <v/>
      </c>
      <c r="P13" s="143">
        <f>(Assumptions!$C$43*Assumptions!$C$44+Assumptions!$C$45*Assumptions!$C$46+Assumptions!$C$47*Assumptions!$C$48)/12</f>
        <v/>
      </c>
      <c r="Q13" s="143">
        <f>(Assumptions!$C$43*Assumptions!$C$44+Assumptions!$C$45*Assumptions!$C$46+Assumptions!$C$47*Assumptions!$C$48)/12</f>
        <v/>
      </c>
      <c r="R13" s="143">
        <f>(Assumptions!$C$43*Assumptions!$C$44+Assumptions!$C$45*Assumptions!$C$46+Assumptions!$C$47*Assumptions!$C$48)/12</f>
        <v/>
      </c>
      <c r="S13" s="143">
        <f>(Assumptions!$C$43*Assumptions!$C$44+Assumptions!$C$45*Assumptions!$C$46+Assumptions!$C$47*Assumptions!$C$48)/12</f>
        <v/>
      </c>
      <c r="T13" s="143">
        <f>(Assumptions!$C$43*Assumptions!$C$44+Assumptions!$C$45*Assumptions!$C$46+Assumptions!$C$47*Assumptions!$C$48)/12</f>
        <v/>
      </c>
      <c r="U13" s="143">
        <f>(Assumptions!$C$43*Assumptions!$C$44+Assumptions!$C$45*Assumptions!$C$46+Assumptions!$C$47*Assumptions!$C$48)/12</f>
        <v/>
      </c>
      <c r="V13" s="143">
        <f>(Assumptions!$C$43*Assumptions!$C$44+Assumptions!$C$45*Assumptions!$C$46+Assumptions!$C$47*Assumptions!$C$48)/12</f>
        <v/>
      </c>
      <c r="W13" s="143">
        <f>(Assumptions!$C$43*Assumptions!$C$44+Assumptions!$C$45*Assumptions!$C$46+Assumptions!$C$47*Assumptions!$C$48)/12</f>
        <v/>
      </c>
      <c r="X13" s="143">
        <f>(Assumptions!$C$43*Assumptions!$C$44+Assumptions!$C$45*Assumptions!$C$46+Assumptions!$C$47*Assumptions!$C$48)/12</f>
        <v/>
      </c>
      <c r="Y13" s="143">
        <f>(Assumptions!$C$43*Assumptions!$C$44+Assumptions!$C$45*Assumptions!$C$46+Assumptions!$C$47*Assumptions!$C$48)/12</f>
        <v/>
      </c>
      <c r="Z13" s="143">
        <f>(Assumptions!$C$43*Assumptions!$C$44+Assumptions!$C$45*Assumptions!$C$46+Assumptions!$C$47*Assumptions!$C$48)/12</f>
        <v/>
      </c>
      <c r="AA13" s="139">
        <f>SUM(O13:Z13)</f>
        <v/>
      </c>
      <c r="AB13" s="143">
        <f>(Assumptions!$C$43*Assumptions!$C$44+Assumptions!$C$45*Assumptions!$C$46+Assumptions!$C$47*Assumptions!$C$48)/12</f>
        <v/>
      </c>
      <c r="AC13" s="143">
        <f>(Assumptions!$C$43*Assumptions!$C$44+Assumptions!$C$45*Assumptions!$C$46+Assumptions!$C$47*Assumptions!$C$48)/12</f>
        <v/>
      </c>
      <c r="AD13" s="143">
        <f>(Assumptions!$C$43*Assumptions!$C$44+Assumptions!$C$45*Assumptions!$C$46+Assumptions!$C$47*Assumptions!$C$48)/12</f>
        <v/>
      </c>
      <c r="AE13" s="143">
        <f>(Assumptions!$C$43*Assumptions!$C$44+Assumptions!$C$45*Assumptions!$C$46+Assumptions!$C$47*Assumptions!$C$48)/12</f>
        <v/>
      </c>
      <c r="AF13" s="143">
        <f>(Assumptions!$C$43*Assumptions!$C$44+Assumptions!$C$45*Assumptions!$C$46+Assumptions!$C$47*Assumptions!$C$48)/12</f>
        <v/>
      </c>
      <c r="AG13" s="143">
        <f>(Assumptions!$C$43*Assumptions!$C$44+Assumptions!$C$45*Assumptions!$C$46+Assumptions!$C$47*Assumptions!$C$48)/12</f>
        <v/>
      </c>
      <c r="AH13" s="143">
        <f>(Assumptions!$C$43*Assumptions!$C$44+Assumptions!$C$45*Assumptions!$C$46+Assumptions!$C$47*Assumptions!$C$48)/12</f>
        <v/>
      </c>
      <c r="AI13" s="143">
        <f>(Assumptions!$C$43*Assumptions!$C$44+Assumptions!$C$45*Assumptions!$C$46+Assumptions!$C$47*Assumptions!$C$48)/12</f>
        <v/>
      </c>
      <c r="AJ13" s="143">
        <f>(Assumptions!$C$43*Assumptions!$C$44+Assumptions!$C$45*Assumptions!$C$46+Assumptions!$C$47*Assumptions!$C$48)/12</f>
        <v/>
      </c>
      <c r="AK13" s="143">
        <f>(Assumptions!$C$43*Assumptions!$C$44+Assumptions!$C$45*Assumptions!$C$46+Assumptions!$C$47*Assumptions!$C$48)/12</f>
        <v/>
      </c>
      <c r="AL13" s="143">
        <f>(Assumptions!$C$43*Assumptions!$C$44+Assumptions!$C$45*Assumptions!$C$46+Assumptions!$C$47*Assumptions!$C$48)/12</f>
        <v/>
      </c>
      <c r="AM13" s="143">
        <f>(Assumptions!$C$43*Assumptions!$C$44+Assumptions!$C$45*Assumptions!$C$46+Assumptions!$C$47*Assumptions!$C$48)/12</f>
        <v/>
      </c>
      <c r="AN13" s="139">
        <f>SUM(AB13:AM13)</f>
        <v/>
      </c>
      <c r="AO13" s="143">
        <f>(Assumptions!$C$43*Assumptions!$C$44+Assumptions!$C$45*Assumptions!$C$46+Assumptions!$C$47*Assumptions!$C$48)/12</f>
        <v/>
      </c>
      <c r="AP13" s="143">
        <f>(Assumptions!$C$43*Assumptions!$C$44+Assumptions!$C$45*Assumptions!$C$46+Assumptions!$C$47*Assumptions!$C$48)/12</f>
        <v/>
      </c>
      <c r="AQ13" s="143">
        <f>(Assumptions!$C$43*Assumptions!$C$44+Assumptions!$C$45*Assumptions!$C$46+Assumptions!$C$47*Assumptions!$C$48)/12</f>
        <v/>
      </c>
      <c r="AR13" s="143">
        <f>(Assumptions!$C$43*Assumptions!$C$44+Assumptions!$C$45*Assumptions!$C$46+Assumptions!$C$47*Assumptions!$C$48)/12</f>
        <v/>
      </c>
      <c r="AS13" s="143">
        <f>(Assumptions!$C$43*Assumptions!$C$44+Assumptions!$C$45*Assumptions!$C$46+Assumptions!$C$47*Assumptions!$C$48)/12</f>
        <v/>
      </c>
      <c r="AT13" s="143">
        <f>(Assumptions!$C$43*Assumptions!$C$44+Assumptions!$C$45*Assumptions!$C$46+Assumptions!$C$47*Assumptions!$C$48)/12</f>
        <v/>
      </c>
      <c r="AU13" s="143">
        <f>(Assumptions!$C$43*Assumptions!$C$44+Assumptions!$C$45*Assumptions!$C$46+Assumptions!$C$47*Assumptions!$C$48)/12</f>
        <v/>
      </c>
      <c r="AV13" s="143">
        <f>(Assumptions!$C$43*Assumptions!$C$44+Assumptions!$C$45*Assumptions!$C$46+Assumptions!$C$47*Assumptions!$C$48)/12</f>
        <v/>
      </c>
      <c r="AW13" s="143">
        <f>(Assumptions!$C$43*Assumptions!$C$44+Assumptions!$C$45*Assumptions!$C$46+Assumptions!$C$47*Assumptions!$C$48)/12</f>
        <v/>
      </c>
      <c r="AX13" s="143">
        <f>(Assumptions!$C$43*Assumptions!$C$44+Assumptions!$C$45*Assumptions!$C$46+Assumptions!$C$47*Assumptions!$C$48)/12</f>
        <v/>
      </c>
      <c r="AY13" s="143">
        <f>(Assumptions!$C$43*Assumptions!$C$44+Assumptions!$C$45*Assumptions!$C$46+Assumptions!$C$47*Assumptions!$C$48)/12</f>
        <v/>
      </c>
      <c r="AZ13" s="143">
        <f>(Assumptions!$C$43*Assumptions!$C$44+Assumptions!$C$45*Assumptions!$C$46+Assumptions!$C$47*Assumptions!$C$48)/12</f>
        <v/>
      </c>
      <c r="BA13" s="139">
        <f>SUM(AO13:AZ13)</f>
        <v/>
      </c>
      <c r="BB13" s="143">
        <f>(Assumptions!$C$43*Assumptions!$C$44+Assumptions!$C$45*Assumptions!$C$46+Assumptions!$C$47*Assumptions!$C$48)/12</f>
        <v/>
      </c>
      <c r="BC13" s="143">
        <f>(Assumptions!$C$43*Assumptions!$C$44+Assumptions!$C$45*Assumptions!$C$46+Assumptions!$C$47*Assumptions!$C$48)/12</f>
        <v/>
      </c>
      <c r="BD13" s="143">
        <f>(Assumptions!$C$43*Assumptions!$C$44+Assumptions!$C$45*Assumptions!$C$46+Assumptions!$C$47*Assumptions!$C$48)/12</f>
        <v/>
      </c>
      <c r="BE13" s="143">
        <f>(Assumptions!$C$43*Assumptions!$C$44+Assumptions!$C$45*Assumptions!$C$46+Assumptions!$C$47*Assumptions!$C$48)/12</f>
        <v/>
      </c>
      <c r="BF13" s="143">
        <f>(Assumptions!$C$43*Assumptions!$C$44+Assumptions!$C$45*Assumptions!$C$46+Assumptions!$C$47*Assumptions!$C$48)/12</f>
        <v/>
      </c>
      <c r="BG13" s="143">
        <f>(Assumptions!$C$43*Assumptions!$C$44+Assumptions!$C$45*Assumptions!$C$46+Assumptions!$C$47*Assumptions!$C$48)/12</f>
        <v/>
      </c>
      <c r="BH13" s="143">
        <f>(Assumptions!$C$43*Assumptions!$C$44+Assumptions!$C$45*Assumptions!$C$46+Assumptions!$C$47*Assumptions!$C$48)/12</f>
        <v/>
      </c>
      <c r="BI13" s="143">
        <f>(Assumptions!$C$43*Assumptions!$C$44+Assumptions!$C$45*Assumptions!$C$46+Assumptions!$C$47*Assumptions!$C$48)/12</f>
        <v/>
      </c>
      <c r="BJ13" s="143">
        <f>(Assumptions!$C$43*Assumptions!$C$44+Assumptions!$C$45*Assumptions!$C$46+Assumptions!$C$47*Assumptions!$C$48)/12</f>
        <v/>
      </c>
      <c r="BK13" s="143">
        <f>(Assumptions!$C$43*Assumptions!$C$44+Assumptions!$C$45*Assumptions!$C$46+Assumptions!$C$47*Assumptions!$C$48)/12</f>
        <v/>
      </c>
      <c r="BL13" s="143">
        <f>(Assumptions!$C$43*Assumptions!$C$44+Assumptions!$C$45*Assumptions!$C$46+Assumptions!$C$47*Assumptions!$C$48)/12</f>
        <v/>
      </c>
      <c r="BM13" s="143">
        <f>(Assumptions!$C$43*Assumptions!$C$44+Assumptions!$C$45*Assumptions!$C$46+Assumptions!$C$47*Assumptions!$C$48)/12</f>
        <v/>
      </c>
      <c r="BN13" s="139">
        <f>SUM(BB13:BM13)</f>
        <v/>
      </c>
    </row>
    <row r="14" ht="15" customHeight="1" s="82">
      <c r="A14" s="88" t="inlineStr">
        <is>
          <t>Interest — Term Loan</t>
        </is>
      </c>
      <c r="B14" s="140">
        <f>Repayment!C6/12+'Existing Loan'!C14/12</f>
        <v/>
      </c>
      <c r="C14" s="140">
        <f>Repayment!C6/12+'Existing Loan'!C14/12</f>
        <v/>
      </c>
      <c r="D14" s="140">
        <f>Repayment!C6/12+'Existing Loan'!C14/12</f>
        <v/>
      </c>
      <c r="E14" s="140">
        <f>Repayment!C6/12+'Existing Loan'!C14/12</f>
        <v/>
      </c>
      <c r="F14" s="140">
        <f>Repayment!C6/12+'Existing Loan'!C14/12</f>
        <v/>
      </c>
      <c r="G14" s="140">
        <f>Repayment!C6/12+'Existing Loan'!C14/12</f>
        <v/>
      </c>
      <c r="H14" s="140">
        <f>Repayment!C6/12+'Existing Loan'!C14/12</f>
        <v/>
      </c>
      <c r="I14" s="140">
        <f>Repayment!C6/12+'Existing Loan'!C14/12</f>
        <v/>
      </c>
      <c r="J14" s="140">
        <f>Repayment!C6/12+'Existing Loan'!C14/12</f>
        <v/>
      </c>
      <c r="K14" s="140">
        <f>Repayment!C6/12+'Existing Loan'!C14/12</f>
        <v/>
      </c>
      <c r="L14" s="140">
        <f>Repayment!C6/12+'Existing Loan'!C14/12</f>
        <v/>
      </c>
      <c r="M14" s="140">
        <f>Repayment!C6/12+'Existing Loan'!C14/12</f>
        <v/>
      </c>
      <c r="N14" s="139">
        <f>SUM(B14:M14)</f>
        <v/>
      </c>
      <c r="O14" s="140">
        <f>Repayment!D6/12+'Existing Loan'!D14/12</f>
        <v/>
      </c>
      <c r="P14" s="140">
        <f>Repayment!D6/12+'Existing Loan'!D14/12</f>
        <v/>
      </c>
      <c r="Q14" s="140">
        <f>Repayment!D6/12+'Existing Loan'!D14/12</f>
        <v/>
      </c>
      <c r="R14" s="140">
        <f>Repayment!D6/12+'Existing Loan'!D14/12</f>
        <v/>
      </c>
      <c r="S14" s="140">
        <f>Repayment!D6/12+'Existing Loan'!D14/12</f>
        <v/>
      </c>
      <c r="T14" s="140">
        <f>Repayment!D6/12+'Existing Loan'!D14/12</f>
        <v/>
      </c>
      <c r="U14" s="140">
        <f>Repayment!D6/12+'Existing Loan'!D14/12</f>
        <v/>
      </c>
      <c r="V14" s="140">
        <f>Repayment!D6/12+'Existing Loan'!D14/12</f>
        <v/>
      </c>
      <c r="W14" s="140">
        <f>Repayment!D6/12+'Existing Loan'!D14/12</f>
        <v/>
      </c>
      <c r="X14" s="140">
        <f>Repayment!D6/12+'Existing Loan'!D14/12</f>
        <v/>
      </c>
      <c r="Y14" s="140">
        <f>Repayment!D6/12+'Existing Loan'!D14/12</f>
        <v/>
      </c>
      <c r="Z14" s="140">
        <f>Repayment!D6/12+'Existing Loan'!D14/12</f>
        <v/>
      </c>
      <c r="AA14" s="139">
        <f>SUM(O14:Z14)</f>
        <v/>
      </c>
      <c r="AB14" s="140">
        <f>Repayment!E6/12+'Existing Loan'!E14/12</f>
        <v/>
      </c>
      <c r="AC14" s="140">
        <f>Repayment!E6/12+'Existing Loan'!E14/12</f>
        <v/>
      </c>
      <c r="AD14" s="140">
        <f>Repayment!E6/12+'Existing Loan'!E14/12</f>
        <v/>
      </c>
      <c r="AE14" s="140">
        <f>Repayment!E6/12+'Existing Loan'!E14/12</f>
        <v/>
      </c>
      <c r="AF14" s="140">
        <f>Repayment!E6/12+'Existing Loan'!E14/12</f>
        <v/>
      </c>
      <c r="AG14" s="140">
        <f>Repayment!E6/12+'Existing Loan'!E14/12</f>
        <v/>
      </c>
      <c r="AH14" s="140">
        <f>Repayment!E6/12+'Existing Loan'!E14/12</f>
        <v/>
      </c>
      <c r="AI14" s="140">
        <f>Repayment!E6/12+'Existing Loan'!E14/12</f>
        <v/>
      </c>
      <c r="AJ14" s="140">
        <f>Repayment!E6/12+'Existing Loan'!E14/12</f>
        <v/>
      </c>
      <c r="AK14" s="140">
        <f>Repayment!E6/12+'Existing Loan'!E14/12</f>
        <v/>
      </c>
      <c r="AL14" s="140">
        <f>Repayment!E6/12+'Existing Loan'!E14/12</f>
        <v/>
      </c>
      <c r="AM14" s="140">
        <f>Repayment!E6/12+'Existing Loan'!E14/12</f>
        <v/>
      </c>
      <c r="AN14" s="139">
        <f>SUM(AB14:AM14)</f>
        <v/>
      </c>
      <c r="AO14" s="140">
        <f>Repayment!F6/12+'Existing Loan'!F14/12</f>
        <v/>
      </c>
      <c r="AP14" s="140">
        <f>Repayment!F6/12+'Existing Loan'!F14/12</f>
        <v/>
      </c>
      <c r="AQ14" s="140">
        <f>Repayment!F6/12+'Existing Loan'!F14/12</f>
        <v/>
      </c>
      <c r="AR14" s="140">
        <f>Repayment!F6/12+'Existing Loan'!F14/12</f>
        <v/>
      </c>
      <c r="AS14" s="140">
        <f>Repayment!F6/12+'Existing Loan'!F14/12</f>
        <v/>
      </c>
      <c r="AT14" s="140">
        <f>Repayment!F6/12+'Existing Loan'!F14/12</f>
        <v/>
      </c>
      <c r="AU14" s="140">
        <f>Repayment!F6/12+'Existing Loan'!F14/12</f>
        <v/>
      </c>
      <c r="AV14" s="140">
        <f>Repayment!F6/12+'Existing Loan'!F14/12</f>
        <v/>
      </c>
      <c r="AW14" s="140">
        <f>Repayment!F6/12+'Existing Loan'!F14/12</f>
        <v/>
      </c>
      <c r="AX14" s="140">
        <f>Repayment!F6/12+'Existing Loan'!F14/12</f>
        <v/>
      </c>
      <c r="AY14" s="140">
        <f>Repayment!F6/12+'Existing Loan'!F14/12</f>
        <v/>
      </c>
      <c r="AZ14" s="140">
        <f>Repayment!F6/12+'Existing Loan'!F14/12</f>
        <v/>
      </c>
      <c r="BA14" s="139">
        <f>SUM(AO14:AZ14)</f>
        <v/>
      </c>
      <c r="BB14" s="140">
        <f>Repayment!G6/12+'Existing Loan'!G14/12</f>
        <v/>
      </c>
      <c r="BC14" s="140">
        <f>Repayment!G6/12+'Existing Loan'!G14/12</f>
        <v/>
      </c>
      <c r="BD14" s="140">
        <f>Repayment!G6/12+'Existing Loan'!G14/12</f>
        <v/>
      </c>
      <c r="BE14" s="140">
        <f>Repayment!G6/12+'Existing Loan'!G14/12</f>
        <v/>
      </c>
      <c r="BF14" s="140">
        <f>Repayment!G6/12+'Existing Loan'!G14/12</f>
        <v/>
      </c>
      <c r="BG14" s="140">
        <f>Repayment!G6/12+'Existing Loan'!G14/12</f>
        <v/>
      </c>
      <c r="BH14" s="140">
        <f>Repayment!G6/12+'Existing Loan'!G14/12</f>
        <v/>
      </c>
      <c r="BI14" s="140">
        <f>Repayment!G6/12+'Existing Loan'!G14/12</f>
        <v/>
      </c>
      <c r="BJ14" s="140">
        <f>Repayment!G6/12+'Existing Loan'!G14/12</f>
        <v/>
      </c>
      <c r="BK14" s="140">
        <f>Repayment!G6/12+'Existing Loan'!G14/12</f>
        <v/>
      </c>
      <c r="BL14" s="140">
        <f>Repayment!G6/12+'Existing Loan'!G14/12</f>
        <v/>
      </c>
      <c r="BM14" s="140">
        <f>Repayment!G6/12+'Existing Loan'!G14/12</f>
        <v/>
      </c>
      <c r="BN14" s="139">
        <f>SUM(BB14:BM14)</f>
        <v/>
      </c>
    </row>
    <row r="15" ht="15" customHeight="1" s="82">
      <c r="A15" s="88" t="inlineStr">
        <is>
          <t>Interest — Working Capital</t>
        </is>
      </c>
      <c r="B15" s="140">
        <f>Form_V_MPBF!C11*Assumptions!$C$13/12</f>
        <v/>
      </c>
      <c r="C15" s="140">
        <f>Form_V_MPBF!C11*Assumptions!$C$13/12</f>
        <v/>
      </c>
      <c r="D15" s="140">
        <f>Form_V_MPBF!C11*Assumptions!$C$13/12</f>
        <v/>
      </c>
      <c r="E15" s="140">
        <f>Form_V_MPBF!C11*Assumptions!$C$13/12</f>
        <v/>
      </c>
      <c r="F15" s="140">
        <f>Form_V_MPBF!C11*Assumptions!$C$13/12</f>
        <v/>
      </c>
      <c r="G15" s="140">
        <f>Form_V_MPBF!C11*Assumptions!$C$13/12</f>
        <v/>
      </c>
      <c r="H15" s="140">
        <f>Form_V_MPBF!C11*Assumptions!$C$13/12</f>
        <v/>
      </c>
      <c r="I15" s="140">
        <f>Form_V_MPBF!C11*Assumptions!$C$13/12</f>
        <v/>
      </c>
      <c r="J15" s="140">
        <f>Form_V_MPBF!C11*Assumptions!$C$13/12</f>
        <v/>
      </c>
      <c r="K15" s="140">
        <f>Form_V_MPBF!C11*Assumptions!$C$13/12</f>
        <v/>
      </c>
      <c r="L15" s="140">
        <f>Form_V_MPBF!C11*Assumptions!$C$13/12</f>
        <v/>
      </c>
      <c r="M15" s="140">
        <f>Form_V_MPBF!C11*Assumptions!$C$13/12</f>
        <v/>
      </c>
      <c r="N15" s="139">
        <f>SUM(B15:M15)</f>
        <v/>
      </c>
      <c r="O15" s="140">
        <f>Form_V_MPBF!D11*Assumptions!$C$13/12</f>
        <v/>
      </c>
      <c r="P15" s="140">
        <f>Form_V_MPBF!D11*Assumptions!$C$13/12</f>
        <v/>
      </c>
      <c r="Q15" s="140">
        <f>Form_V_MPBF!D11*Assumptions!$C$13/12</f>
        <v/>
      </c>
      <c r="R15" s="140">
        <f>Form_V_MPBF!D11*Assumptions!$C$13/12</f>
        <v/>
      </c>
      <c r="S15" s="140">
        <f>Form_V_MPBF!D11*Assumptions!$C$13/12</f>
        <v/>
      </c>
      <c r="T15" s="140">
        <f>Form_V_MPBF!D11*Assumptions!$C$13/12</f>
        <v/>
      </c>
      <c r="U15" s="140">
        <f>Form_V_MPBF!D11*Assumptions!$C$13/12</f>
        <v/>
      </c>
      <c r="V15" s="140">
        <f>Form_V_MPBF!D11*Assumptions!$C$13/12</f>
        <v/>
      </c>
      <c r="W15" s="140">
        <f>Form_V_MPBF!D11*Assumptions!$C$13/12</f>
        <v/>
      </c>
      <c r="X15" s="140">
        <f>Form_V_MPBF!D11*Assumptions!$C$13/12</f>
        <v/>
      </c>
      <c r="Y15" s="140">
        <f>Form_V_MPBF!D11*Assumptions!$C$13/12</f>
        <v/>
      </c>
      <c r="Z15" s="140">
        <f>Form_V_MPBF!D11*Assumptions!$C$13/12</f>
        <v/>
      </c>
      <c r="AA15" s="139">
        <f>SUM(O15:Z15)</f>
        <v/>
      </c>
      <c r="AB15" s="140">
        <f>Form_V_MPBF!E11*Assumptions!$C$13/12</f>
        <v/>
      </c>
      <c r="AC15" s="140">
        <f>Form_V_MPBF!E11*Assumptions!$C$13/12</f>
        <v/>
      </c>
      <c r="AD15" s="140">
        <f>Form_V_MPBF!E11*Assumptions!$C$13/12</f>
        <v/>
      </c>
      <c r="AE15" s="140">
        <f>Form_V_MPBF!E11*Assumptions!$C$13/12</f>
        <v/>
      </c>
      <c r="AF15" s="140">
        <f>Form_V_MPBF!E11*Assumptions!$C$13/12</f>
        <v/>
      </c>
      <c r="AG15" s="140">
        <f>Form_V_MPBF!E11*Assumptions!$C$13/12</f>
        <v/>
      </c>
      <c r="AH15" s="140">
        <f>Form_V_MPBF!E11*Assumptions!$C$13/12</f>
        <v/>
      </c>
      <c r="AI15" s="140">
        <f>Form_V_MPBF!E11*Assumptions!$C$13/12</f>
        <v/>
      </c>
      <c r="AJ15" s="140">
        <f>Form_V_MPBF!E11*Assumptions!$C$13/12</f>
        <v/>
      </c>
      <c r="AK15" s="140">
        <f>Form_V_MPBF!E11*Assumptions!$C$13/12</f>
        <v/>
      </c>
      <c r="AL15" s="140">
        <f>Form_V_MPBF!E11*Assumptions!$C$13/12</f>
        <v/>
      </c>
      <c r="AM15" s="140">
        <f>Form_V_MPBF!E11*Assumptions!$C$13/12</f>
        <v/>
      </c>
      <c r="AN15" s="139">
        <f>SUM(AB15:AM15)</f>
        <v/>
      </c>
      <c r="AO15" s="140">
        <f>Form_V_MPBF!F11*Assumptions!$C$13/12</f>
        <v/>
      </c>
      <c r="AP15" s="140">
        <f>Form_V_MPBF!F11*Assumptions!$C$13/12</f>
        <v/>
      </c>
      <c r="AQ15" s="140">
        <f>Form_V_MPBF!F11*Assumptions!$C$13/12</f>
        <v/>
      </c>
      <c r="AR15" s="140">
        <f>Form_V_MPBF!F11*Assumptions!$C$13/12</f>
        <v/>
      </c>
      <c r="AS15" s="140">
        <f>Form_V_MPBF!F11*Assumptions!$C$13/12</f>
        <v/>
      </c>
      <c r="AT15" s="140">
        <f>Form_V_MPBF!F11*Assumptions!$C$13/12</f>
        <v/>
      </c>
      <c r="AU15" s="140">
        <f>Form_V_MPBF!F11*Assumptions!$C$13/12</f>
        <v/>
      </c>
      <c r="AV15" s="140">
        <f>Form_V_MPBF!F11*Assumptions!$C$13/12</f>
        <v/>
      </c>
      <c r="AW15" s="140">
        <f>Form_V_MPBF!F11*Assumptions!$C$13/12</f>
        <v/>
      </c>
      <c r="AX15" s="140">
        <f>Form_V_MPBF!F11*Assumptions!$C$13/12</f>
        <v/>
      </c>
      <c r="AY15" s="140">
        <f>Form_V_MPBF!F11*Assumptions!$C$13/12</f>
        <v/>
      </c>
      <c r="AZ15" s="140">
        <f>Form_V_MPBF!F11*Assumptions!$C$13/12</f>
        <v/>
      </c>
      <c r="BA15" s="139">
        <f>SUM(AO15:AZ15)</f>
        <v/>
      </c>
      <c r="BB15" s="140">
        <f>Form_V_MPBF!G11*Assumptions!$C$13/12</f>
        <v/>
      </c>
      <c r="BC15" s="140">
        <f>Form_V_MPBF!G11*Assumptions!$C$13/12</f>
        <v/>
      </c>
      <c r="BD15" s="140">
        <f>Form_V_MPBF!G11*Assumptions!$C$13/12</f>
        <v/>
      </c>
      <c r="BE15" s="140">
        <f>Form_V_MPBF!G11*Assumptions!$C$13/12</f>
        <v/>
      </c>
      <c r="BF15" s="140">
        <f>Form_V_MPBF!G11*Assumptions!$C$13/12</f>
        <v/>
      </c>
      <c r="BG15" s="140">
        <f>Form_V_MPBF!G11*Assumptions!$C$13/12</f>
        <v/>
      </c>
      <c r="BH15" s="140">
        <f>Form_V_MPBF!G11*Assumptions!$C$13/12</f>
        <v/>
      </c>
      <c r="BI15" s="140">
        <f>Form_V_MPBF!G11*Assumptions!$C$13/12</f>
        <v/>
      </c>
      <c r="BJ15" s="140">
        <f>Form_V_MPBF!G11*Assumptions!$C$13/12</f>
        <v/>
      </c>
      <c r="BK15" s="140">
        <f>Form_V_MPBF!G11*Assumptions!$C$13/12</f>
        <v/>
      </c>
      <c r="BL15" s="140">
        <f>Form_V_MPBF!G11*Assumptions!$C$13/12</f>
        <v/>
      </c>
      <c r="BM15" s="140">
        <f>Form_V_MPBF!G11*Assumptions!$C$13/12</f>
        <v/>
      </c>
      <c r="BN15" s="139">
        <f>SUM(BB15:BM15)</f>
        <v/>
      </c>
    </row>
    <row r="16" ht="15" customHeight="1" s="82">
      <c r="A16" s="137" t="inlineStr">
        <is>
          <t>Total Operating Expenses</t>
        </is>
      </c>
      <c r="B16" s="139">
        <f>SUM(B5:B15)</f>
        <v/>
      </c>
      <c r="C16" s="139">
        <f>SUM(C5:C15)</f>
        <v/>
      </c>
      <c r="D16" s="139">
        <f>SUM(D5:D15)</f>
        <v/>
      </c>
      <c r="E16" s="139">
        <f>SUM(E5:E15)</f>
        <v/>
      </c>
      <c r="F16" s="139">
        <f>SUM(F5:F15)</f>
        <v/>
      </c>
      <c r="G16" s="139">
        <f>SUM(G5:G15)</f>
        <v/>
      </c>
      <c r="H16" s="139">
        <f>SUM(H5:H15)</f>
        <v/>
      </c>
      <c r="I16" s="139">
        <f>SUM(I5:I15)</f>
        <v/>
      </c>
      <c r="J16" s="139">
        <f>SUM(J5:J15)</f>
        <v/>
      </c>
      <c r="K16" s="139">
        <f>SUM(K5:K15)</f>
        <v/>
      </c>
      <c r="L16" s="139">
        <f>SUM(L5:L15)</f>
        <v/>
      </c>
      <c r="M16" s="139">
        <f>SUM(M5:M15)</f>
        <v/>
      </c>
      <c r="N16" s="139">
        <f>SUM(B16:M16)</f>
        <v/>
      </c>
      <c r="O16" s="139">
        <f>SUM(O5:O15)</f>
        <v/>
      </c>
      <c r="P16" s="139">
        <f>SUM(P5:P15)</f>
        <v/>
      </c>
      <c r="Q16" s="139">
        <f>SUM(Q5:Q15)</f>
        <v/>
      </c>
      <c r="R16" s="139">
        <f>SUM(R5:R15)</f>
        <v/>
      </c>
      <c r="S16" s="139">
        <f>SUM(S5:S15)</f>
        <v/>
      </c>
      <c r="T16" s="139">
        <f>SUM(T5:T15)</f>
        <v/>
      </c>
      <c r="U16" s="139">
        <f>SUM(U5:U15)</f>
        <v/>
      </c>
      <c r="V16" s="139">
        <f>SUM(V5:V15)</f>
        <v/>
      </c>
      <c r="W16" s="139">
        <f>SUM(W5:W15)</f>
        <v/>
      </c>
      <c r="X16" s="139">
        <f>SUM(X5:X15)</f>
        <v/>
      </c>
      <c r="Y16" s="139">
        <f>SUM(Y5:Y15)</f>
        <v/>
      </c>
      <c r="Z16" s="139">
        <f>SUM(Z5:Z15)</f>
        <v/>
      </c>
      <c r="AA16" s="139">
        <f>SUM(O16:Z16)</f>
        <v/>
      </c>
      <c r="AB16" s="139">
        <f>SUM(AB5:AB15)</f>
        <v/>
      </c>
      <c r="AC16" s="139">
        <f>SUM(AC5:AC15)</f>
        <v/>
      </c>
      <c r="AD16" s="139">
        <f>SUM(AD5:AD15)</f>
        <v/>
      </c>
      <c r="AE16" s="139">
        <f>SUM(AE5:AE15)</f>
        <v/>
      </c>
      <c r="AF16" s="139">
        <f>SUM(AF5:AF15)</f>
        <v/>
      </c>
      <c r="AG16" s="139">
        <f>SUM(AG5:AG15)</f>
        <v/>
      </c>
      <c r="AH16" s="139">
        <f>SUM(AH5:AH15)</f>
        <v/>
      </c>
      <c r="AI16" s="139">
        <f>SUM(AI5:AI15)</f>
        <v/>
      </c>
      <c r="AJ16" s="139">
        <f>SUM(AJ5:AJ15)</f>
        <v/>
      </c>
      <c r="AK16" s="139">
        <f>SUM(AK5:AK15)</f>
        <v/>
      </c>
      <c r="AL16" s="139">
        <f>SUM(AL5:AL15)</f>
        <v/>
      </c>
      <c r="AM16" s="139">
        <f>SUM(AM5:AM15)</f>
        <v/>
      </c>
      <c r="AN16" s="139">
        <f>SUM(AB16:AM16)</f>
        <v/>
      </c>
      <c r="AO16" s="139">
        <f>SUM(AO5:AO15)</f>
        <v/>
      </c>
      <c r="AP16" s="139">
        <f>SUM(AP5:AP15)</f>
        <v/>
      </c>
      <c r="AQ16" s="139">
        <f>SUM(AQ5:AQ15)</f>
        <v/>
      </c>
      <c r="AR16" s="139">
        <f>SUM(AR5:AR15)</f>
        <v/>
      </c>
      <c r="AS16" s="139">
        <f>SUM(AS5:AS15)</f>
        <v/>
      </c>
      <c r="AT16" s="139">
        <f>SUM(AT5:AT15)</f>
        <v/>
      </c>
      <c r="AU16" s="139">
        <f>SUM(AU5:AU15)</f>
        <v/>
      </c>
      <c r="AV16" s="139">
        <f>SUM(AV5:AV15)</f>
        <v/>
      </c>
      <c r="AW16" s="139">
        <f>SUM(AW5:AW15)</f>
        <v/>
      </c>
      <c r="AX16" s="139">
        <f>SUM(AX5:AX15)</f>
        <v/>
      </c>
      <c r="AY16" s="139">
        <f>SUM(AY5:AY15)</f>
        <v/>
      </c>
      <c r="AZ16" s="139">
        <f>SUM(AZ5:AZ15)</f>
        <v/>
      </c>
      <c r="BA16" s="139">
        <f>SUM(AO16:AZ16)</f>
        <v/>
      </c>
      <c r="BB16" s="139">
        <f>SUM(BB5:BB15)</f>
        <v/>
      </c>
      <c r="BC16" s="139">
        <f>SUM(BC5:BC15)</f>
        <v/>
      </c>
      <c r="BD16" s="139">
        <f>SUM(BD5:BD15)</f>
        <v/>
      </c>
      <c r="BE16" s="139">
        <f>SUM(BE5:BE15)</f>
        <v/>
      </c>
      <c r="BF16" s="139">
        <f>SUM(BF5:BF15)</f>
        <v/>
      </c>
      <c r="BG16" s="139">
        <f>SUM(BG5:BG15)</f>
        <v/>
      </c>
      <c r="BH16" s="139">
        <f>SUM(BH5:BH15)</f>
        <v/>
      </c>
      <c r="BI16" s="139">
        <f>SUM(BI5:BI15)</f>
        <v/>
      </c>
      <c r="BJ16" s="139">
        <f>SUM(BJ5:BJ15)</f>
        <v/>
      </c>
      <c r="BK16" s="139">
        <f>SUM(BK5:BK15)</f>
        <v/>
      </c>
      <c r="BL16" s="139">
        <f>SUM(BL5:BL15)</f>
        <v/>
      </c>
      <c r="BM16" s="139">
        <f>SUM(BM5:BM15)</f>
        <v/>
      </c>
      <c r="BN16" s="139">
        <f>SUM(BB16:BM16)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N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PROFITABILITY (P&amp;L)  —  60-MONTH PROJECTION</t>
        </is>
      </c>
    </row>
    <row r="2" ht="15" customHeight="1" s="82">
      <c r="A2" s="114" t="inlineStr">
        <is>
          <t>EBITDA → EBIT → PBT → PAT, fully linked to Sales and Expenses.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137" t="inlineStr">
        <is>
          <t>Trips / consignments revenue</t>
        </is>
      </c>
      <c r="B5" s="278">
        <f>'Revenue Build-Up'!B8</f>
        <v/>
      </c>
      <c r="C5" s="278">
        <f>'Revenue Build-Up'!C8</f>
        <v/>
      </c>
      <c r="D5" s="278">
        <f>'Revenue Build-Up'!D8</f>
        <v/>
      </c>
      <c r="E5" s="278">
        <f>'Revenue Build-Up'!E8</f>
        <v/>
      </c>
      <c r="F5" s="278">
        <f>'Revenue Build-Up'!F8</f>
        <v/>
      </c>
      <c r="G5" s="278">
        <f>'Revenue Build-Up'!G8</f>
        <v/>
      </c>
      <c r="H5" s="278">
        <f>'Revenue Build-Up'!H8</f>
        <v/>
      </c>
      <c r="I5" s="278">
        <f>'Revenue Build-Up'!I8</f>
        <v/>
      </c>
      <c r="J5" s="278">
        <f>'Revenue Build-Up'!J8</f>
        <v/>
      </c>
      <c r="K5" s="278">
        <f>'Revenue Build-Up'!K8</f>
        <v/>
      </c>
      <c r="L5" s="278">
        <f>'Revenue Build-Up'!L8</f>
        <v/>
      </c>
      <c r="M5" s="278">
        <f>'Revenue Build-Up'!M8</f>
        <v/>
      </c>
      <c r="N5" s="278">
        <f>SUM(B5:M5)</f>
        <v/>
      </c>
      <c r="O5" s="278">
        <f>'Revenue Build-Up'!O8</f>
        <v/>
      </c>
      <c r="P5" s="278">
        <f>'Revenue Build-Up'!P8</f>
        <v/>
      </c>
      <c r="Q5" s="278">
        <f>'Revenue Build-Up'!Q8</f>
        <v/>
      </c>
      <c r="R5" s="278">
        <f>'Revenue Build-Up'!R8</f>
        <v/>
      </c>
      <c r="S5" s="278">
        <f>'Revenue Build-Up'!S8</f>
        <v/>
      </c>
      <c r="T5" s="278">
        <f>'Revenue Build-Up'!T8</f>
        <v/>
      </c>
      <c r="U5" s="278">
        <f>'Revenue Build-Up'!U8</f>
        <v/>
      </c>
      <c r="V5" s="278">
        <f>'Revenue Build-Up'!V8</f>
        <v/>
      </c>
      <c r="W5" s="278">
        <f>'Revenue Build-Up'!W8</f>
        <v/>
      </c>
      <c r="X5" s="278">
        <f>'Revenue Build-Up'!X8</f>
        <v/>
      </c>
      <c r="Y5" s="278">
        <f>'Revenue Build-Up'!Y8</f>
        <v/>
      </c>
      <c r="Z5" s="278">
        <f>'Revenue Build-Up'!Z8</f>
        <v/>
      </c>
      <c r="AA5" s="278">
        <f>SUM(O5:Z5)</f>
        <v/>
      </c>
      <c r="AB5" s="278">
        <f>'Revenue Build-Up'!AB8</f>
        <v/>
      </c>
      <c r="AC5" s="278">
        <f>'Revenue Build-Up'!AC8</f>
        <v/>
      </c>
      <c r="AD5" s="278">
        <f>'Revenue Build-Up'!AD8</f>
        <v/>
      </c>
      <c r="AE5" s="278">
        <f>'Revenue Build-Up'!AE8</f>
        <v/>
      </c>
      <c r="AF5" s="278">
        <f>'Revenue Build-Up'!AF8</f>
        <v/>
      </c>
      <c r="AG5" s="278">
        <f>'Revenue Build-Up'!AG8</f>
        <v/>
      </c>
      <c r="AH5" s="278">
        <f>'Revenue Build-Up'!AH8</f>
        <v/>
      </c>
      <c r="AI5" s="278">
        <f>'Revenue Build-Up'!AI8</f>
        <v/>
      </c>
      <c r="AJ5" s="278">
        <f>'Revenue Build-Up'!AJ8</f>
        <v/>
      </c>
      <c r="AK5" s="278">
        <f>'Revenue Build-Up'!AK8</f>
        <v/>
      </c>
      <c r="AL5" s="278">
        <f>'Revenue Build-Up'!AL8</f>
        <v/>
      </c>
      <c r="AM5" s="278">
        <f>'Revenue Build-Up'!AM8</f>
        <v/>
      </c>
      <c r="AN5" s="278">
        <f>SUM(AB5:AM5)</f>
        <v/>
      </c>
      <c r="AO5" s="278">
        <f>'Revenue Build-Up'!AO8</f>
        <v/>
      </c>
      <c r="AP5" s="278">
        <f>'Revenue Build-Up'!AP8</f>
        <v/>
      </c>
      <c r="AQ5" s="278">
        <f>'Revenue Build-Up'!AQ8</f>
        <v/>
      </c>
      <c r="AR5" s="278">
        <f>'Revenue Build-Up'!AR8</f>
        <v/>
      </c>
      <c r="AS5" s="278">
        <f>'Revenue Build-Up'!AS8</f>
        <v/>
      </c>
      <c r="AT5" s="278">
        <f>'Revenue Build-Up'!AT8</f>
        <v/>
      </c>
      <c r="AU5" s="278">
        <f>'Revenue Build-Up'!AU8</f>
        <v/>
      </c>
      <c r="AV5" s="278">
        <f>'Revenue Build-Up'!AV8</f>
        <v/>
      </c>
      <c r="AW5" s="278">
        <f>'Revenue Build-Up'!AW8</f>
        <v/>
      </c>
      <c r="AX5" s="278">
        <f>'Revenue Build-Up'!AX8</f>
        <v/>
      </c>
      <c r="AY5" s="278">
        <f>'Revenue Build-Up'!AY8</f>
        <v/>
      </c>
      <c r="AZ5" s="278">
        <f>'Revenue Build-Up'!AZ8</f>
        <v/>
      </c>
      <c r="BA5" s="278">
        <f>SUM(AO5:AZ5)</f>
        <v/>
      </c>
      <c r="BB5" s="278">
        <f>'Revenue Build-Up'!BB8</f>
        <v/>
      </c>
      <c r="BC5" s="278">
        <f>'Revenue Build-Up'!BC8</f>
        <v/>
      </c>
      <c r="BD5" s="278">
        <f>'Revenue Build-Up'!BD8</f>
        <v/>
      </c>
      <c r="BE5" s="278">
        <f>'Revenue Build-Up'!BE8</f>
        <v/>
      </c>
      <c r="BF5" s="278">
        <f>'Revenue Build-Up'!BF8</f>
        <v/>
      </c>
      <c r="BG5" s="278">
        <f>'Revenue Build-Up'!BG8</f>
        <v/>
      </c>
      <c r="BH5" s="278">
        <f>'Revenue Build-Up'!BH8</f>
        <v/>
      </c>
      <c r="BI5" s="278">
        <f>'Revenue Build-Up'!BI8</f>
        <v/>
      </c>
      <c r="BJ5" s="278">
        <f>'Revenue Build-Up'!BJ8</f>
        <v/>
      </c>
      <c r="BK5" s="278">
        <f>'Revenue Build-Up'!BK8</f>
        <v/>
      </c>
      <c r="BL5" s="278">
        <f>'Revenue Build-Up'!BL8</f>
        <v/>
      </c>
      <c r="BM5" s="278">
        <f>'Revenue Build-Up'!BM8</f>
        <v/>
      </c>
      <c r="BN5" s="278">
        <f>SUM(BB5:BM5)</f>
        <v/>
      </c>
    </row>
    <row r="6" ht="15" customHeight="1" s="82">
      <c r="A6" s="137" t="inlineStr">
        <is>
          <t>Warehousing / Storage</t>
        </is>
      </c>
      <c r="B6" s="278">
        <f>'Revenue Build-Up'!B12</f>
        <v/>
      </c>
      <c r="C6" s="278">
        <f>'Revenue Build-Up'!C12</f>
        <v/>
      </c>
      <c r="D6" s="278">
        <f>'Revenue Build-Up'!D12</f>
        <v/>
      </c>
      <c r="E6" s="278">
        <f>'Revenue Build-Up'!E12</f>
        <v/>
      </c>
      <c r="F6" s="278">
        <f>'Revenue Build-Up'!F12</f>
        <v/>
      </c>
      <c r="G6" s="278">
        <f>'Revenue Build-Up'!G12</f>
        <v/>
      </c>
      <c r="H6" s="278">
        <f>'Revenue Build-Up'!H12</f>
        <v/>
      </c>
      <c r="I6" s="278">
        <f>'Revenue Build-Up'!I12</f>
        <v/>
      </c>
      <c r="J6" s="278">
        <f>'Revenue Build-Up'!J12</f>
        <v/>
      </c>
      <c r="K6" s="278">
        <f>'Revenue Build-Up'!K12</f>
        <v/>
      </c>
      <c r="L6" s="278">
        <f>'Revenue Build-Up'!L12</f>
        <v/>
      </c>
      <c r="M6" s="278">
        <f>'Revenue Build-Up'!M12</f>
        <v/>
      </c>
      <c r="N6" s="278">
        <f>SUM(B6:M6)</f>
        <v/>
      </c>
      <c r="O6" s="278">
        <f>'Revenue Build-Up'!O12</f>
        <v/>
      </c>
      <c r="P6" s="278">
        <f>'Revenue Build-Up'!P12</f>
        <v/>
      </c>
      <c r="Q6" s="278">
        <f>'Revenue Build-Up'!Q12</f>
        <v/>
      </c>
      <c r="R6" s="278">
        <f>'Revenue Build-Up'!R12</f>
        <v/>
      </c>
      <c r="S6" s="278">
        <f>'Revenue Build-Up'!S12</f>
        <v/>
      </c>
      <c r="T6" s="278">
        <f>'Revenue Build-Up'!T12</f>
        <v/>
      </c>
      <c r="U6" s="278">
        <f>'Revenue Build-Up'!U12</f>
        <v/>
      </c>
      <c r="V6" s="278">
        <f>'Revenue Build-Up'!V12</f>
        <v/>
      </c>
      <c r="W6" s="278">
        <f>'Revenue Build-Up'!W12</f>
        <v/>
      </c>
      <c r="X6" s="278">
        <f>'Revenue Build-Up'!X12</f>
        <v/>
      </c>
      <c r="Y6" s="278">
        <f>'Revenue Build-Up'!Y12</f>
        <v/>
      </c>
      <c r="Z6" s="278">
        <f>'Revenue Build-Up'!Z12</f>
        <v/>
      </c>
      <c r="AA6" s="278">
        <f>SUM(O6:Z6)</f>
        <v/>
      </c>
      <c r="AB6" s="278">
        <f>'Revenue Build-Up'!AB12</f>
        <v/>
      </c>
      <c r="AC6" s="278">
        <f>'Revenue Build-Up'!AC12</f>
        <v/>
      </c>
      <c r="AD6" s="278">
        <f>'Revenue Build-Up'!AD12</f>
        <v/>
      </c>
      <c r="AE6" s="278">
        <f>'Revenue Build-Up'!AE12</f>
        <v/>
      </c>
      <c r="AF6" s="278">
        <f>'Revenue Build-Up'!AF12</f>
        <v/>
      </c>
      <c r="AG6" s="278">
        <f>'Revenue Build-Up'!AG12</f>
        <v/>
      </c>
      <c r="AH6" s="278">
        <f>'Revenue Build-Up'!AH12</f>
        <v/>
      </c>
      <c r="AI6" s="278">
        <f>'Revenue Build-Up'!AI12</f>
        <v/>
      </c>
      <c r="AJ6" s="278">
        <f>'Revenue Build-Up'!AJ12</f>
        <v/>
      </c>
      <c r="AK6" s="278">
        <f>'Revenue Build-Up'!AK12</f>
        <v/>
      </c>
      <c r="AL6" s="278">
        <f>'Revenue Build-Up'!AL12</f>
        <v/>
      </c>
      <c r="AM6" s="278">
        <f>'Revenue Build-Up'!AM12</f>
        <v/>
      </c>
      <c r="AN6" s="278">
        <f>SUM(AB6:AM6)</f>
        <v/>
      </c>
      <c r="AO6" s="278">
        <f>'Revenue Build-Up'!AO12</f>
        <v/>
      </c>
      <c r="AP6" s="278">
        <f>'Revenue Build-Up'!AP12</f>
        <v/>
      </c>
      <c r="AQ6" s="278">
        <f>'Revenue Build-Up'!AQ12</f>
        <v/>
      </c>
      <c r="AR6" s="278">
        <f>'Revenue Build-Up'!AR12</f>
        <v/>
      </c>
      <c r="AS6" s="278">
        <f>'Revenue Build-Up'!AS12</f>
        <v/>
      </c>
      <c r="AT6" s="278">
        <f>'Revenue Build-Up'!AT12</f>
        <v/>
      </c>
      <c r="AU6" s="278">
        <f>'Revenue Build-Up'!AU12</f>
        <v/>
      </c>
      <c r="AV6" s="278">
        <f>'Revenue Build-Up'!AV12</f>
        <v/>
      </c>
      <c r="AW6" s="278">
        <f>'Revenue Build-Up'!AW12</f>
        <v/>
      </c>
      <c r="AX6" s="278">
        <f>'Revenue Build-Up'!AX12</f>
        <v/>
      </c>
      <c r="AY6" s="278">
        <f>'Revenue Build-Up'!AY12</f>
        <v/>
      </c>
      <c r="AZ6" s="278">
        <f>'Revenue Build-Up'!AZ12</f>
        <v/>
      </c>
      <c r="BA6" s="278">
        <f>SUM(AO6:AZ6)</f>
        <v/>
      </c>
      <c r="BB6" s="278">
        <f>'Revenue Build-Up'!BB12</f>
        <v/>
      </c>
      <c r="BC6" s="278">
        <f>'Revenue Build-Up'!BC12</f>
        <v/>
      </c>
      <c r="BD6" s="278">
        <f>'Revenue Build-Up'!BD12</f>
        <v/>
      </c>
      <c r="BE6" s="278">
        <f>'Revenue Build-Up'!BE12</f>
        <v/>
      </c>
      <c r="BF6" s="278">
        <f>'Revenue Build-Up'!BF12</f>
        <v/>
      </c>
      <c r="BG6" s="278">
        <f>'Revenue Build-Up'!BG12</f>
        <v/>
      </c>
      <c r="BH6" s="278">
        <f>'Revenue Build-Up'!BH12</f>
        <v/>
      </c>
      <c r="BI6" s="278">
        <f>'Revenue Build-Up'!BI12</f>
        <v/>
      </c>
      <c r="BJ6" s="278">
        <f>'Revenue Build-Up'!BJ12</f>
        <v/>
      </c>
      <c r="BK6" s="278">
        <f>'Revenue Build-Up'!BK12</f>
        <v/>
      </c>
      <c r="BL6" s="278">
        <f>'Revenue Build-Up'!BL12</f>
        <v/>
      </c>
      <c r="BM6" s="278">
        <f>'Revenue Build-Up'!BM12</f>
        <v/>
      </c>
      <c r="BN6" s="278">
        <f>SUM(BB6:BM6)</f>
        <v/>
      </c>
    </row>
    <row r="7" ht="15" customHeight="1" s="82">
      <c r="A7" s="137" t="inlineStr">
        <is>
          <t>Value-added logistics</t>
        </is>
      </c>
      <c r="B7" s="278">
        <f>'Revenue Build-Up'!B16</f>
        <v/>
      </c>
      <c r="C7" s="278">
        <f>'Revenue Build-Up'!C16</f>
        <v/>
      </c>
      <c r="D7" s="278">
        <f>'Revenue Build-Up'!D16</f>
        <v/>
      </c>
      <c r="E7" s="278">
        <f>'Revenue Build-Up'!E16</f>
        <v/>
      </c>
      <c r="F7" s="278">
        <f>'Revenue Build-Up'!F16</f>
        <v/>
      </c>
      <c r="G7" s="278">
        <f>'Revenue Build-Up'!G16</f>
        <v/>
      </c>
      <c r="H7" s="278">
        <f>'Revenue Build-Up'!H16</f>
        <v/>
      </c>
      <c r="I7" s="278">
        <f>'Revenue Build-Up'!I16</f>
        <v/>
      </c>
      <c r="J7" s="278">
        <f>'Revenue Build-Up'!J16</f>
        <v/>
      </c>
      <c r="K7" s="278">
        <f>'Revenue Build-Up'!K16</f>
        <v/>
      </c>
      <c r="L7" s="278">
        <f>'Revenue Build-Up'!L16</f>
        <v/>
      </c>
      <c r="M7" s="278">
        <f>'Revenue Build-Up'!M16</f>
        <v/>
      </c>
      <c r="N7" s="278">
        <f>SUM(B7:M7)</f>
        <v/>
      </c>
      <c r="O7" s="278">
        <f>'Revenue Build-Up'!O16</f>
        <v/>
      </c>
      <c r="P7" s="278">
        <f>'Revenue Build-Up'!P16</f>
        <v/>
      </c>
      <c r="Q7" s="278">
        <f>'Revenue Build-Up'!Q16</f>
        <v/>
      </c>
      <c r="R7" s="278">
        <f>'Revenue Build-Up'!R16</f>
        <v/>
      </c>
      <c r="S7" s="278">
        <f>'Revenue Build-Up'!S16</f>
        <v/>
      </c>
      <c r="T7" s="278">
        <f>'Revenue Build-Up'!T16</f>
        <v/>
      </c>
      <c r="U7" s="278">
        <f>'Revenue Build-Up'!U16</f>
        <v/>
      </c>
      <c r="V7" s="278">
        <f>'Revenue Build-Up'!V16</f>
        <v/>
      </c>
      <c r="W7" s="278">
        <f>'Revenue Build-Up'!W16</f>
        <v/>
      </c>
      <c r="X7" s="278">
        <f>'Revenue Build-Up'!X16</f>
        <v/>
      </c>
      <c r="Y7" s="278">
        <f>'Revenue Build-Up'!Y16</f>
        <v/>
      </c>
      <c r="Z7" s="278">
        <f>'Revenue Build-Up'!Z16</f>
        <v/>
      </c>
      <c r="AA7" s="278">
        <f>SUM(O7:Z7)</f>
        <v/>
      </c>
      <c r="AB7" s="278">
        <f>'Revenue Build-Up'!AB16</f>
        <v/>
      </c>
      <c r="AC7" s="278">
        <f>'Revenue Build-Up'!AC16</f>
        <v/>
      </c>
      <c r="AD7" s="278">
        <f>'Revenue Build-Up'!AD16</f>
        <v/>
      </c>
      <c r="AE7" s="278">
        <f>'Revenue Build-Up'!AE16</f>
        <v/>
      </c>
      <c r="AF7" s="278">
        <f>'Revenue Build-Up'!AF16</f>
        <v/>
      </c>
      <c r="AG7" s="278">
        <f>'Revenue Build-Up'!AG16</f>
        <v/>
      </c>
      <c r="AH7" s="278">
        <f>'Revenue Build-Up'!AH16</f>
        <v/>
      </c>
      <c r="AI7" s="278">
        <f>'Revenue Build-Up'!AI16</f>
        <v/>
      </c>
      <c r="AJ7" s="278">
        <f>'Revenue Build-Up'!AJ16</f>
        <v/>
      </c>
      <c r="AK7" s="278">
        <f>'Revenue Build-Up'!AK16</f>
        <v/>
      </c>
      <c r="AL7" s="278">
        <f>'Revenue Build-Up'!AL16</f>
        <v/>
      </c>
      <c r="AM7" s="278">
        <f>'Revenue Build-Up'!AM16</f>
        <v/>
      </c>
      <c r="AN7" s="278">
        <f>SUM(AB7:AM7)</f>
        <v/>
      </c>
      <c r="AO7" s="278">
        <f>'Revenue Build-Up'!AO16</f>
        <v/>
      </c>
      <c r="AP7" s="278">
        <f>'Revenue Build-Up'!AP16</f>
        <v/>
      </c>
      <c r="AQ7" s="278">
        <f>'Revenue Build-Up'!AQ16</f>
        <v/>
      </c>
      <c r="AR7" s="278">
        <f>'Revenue Build-Up'!AR16</f>
        <v/>
      </c>
      <c r="AS7" s="278">
        <f>'Revenue Build-Up'!AS16</f>
        <v/>
      </c>
      <c r="AT7" s="278">
        <f>'Revenue Build-Up'!AT16</f>
        <v/>
      </c>
      <c r="AU7" s="278">
        <f>'Revenue Build-Up'!AU16</f>
        <v/>
      </c>
      <c r="AV7" s="278">
        <f>'Revenue Build-Up'!AV16</f>
        <v/>
      </c>
      <c r="AW7" s="278">
        <f>'Revenue Build-Up'!AW16</f>
        <v/>
      </c>
      <c r="AX7" s="278">
        <f>'Revenue Build-Up'!AX16</f>
        <v/>
      </c>
      <c r="AY7" s="278">
        <f>'Revenue Build-Up'!AY16</f>
        <v/>
      </c>
      <c r="AZ7" s="278">
        <f>'Revenue Build-Up'!AZ16</f>
        <v/>
      </c>
      <c r="BA7" s="278">
        <f>SUM(AO7:AZ7)</f>
        <v/>
      </c>
      <c r="BB7" s="278">
        <f>'Revenue Build-Up'!BB16</f>
        <v/>
      </c>
      <c r="BC7" s="278">
        <f>'Revenue Build-Up'!BC16</f>
        <v/>
      </c>
      <c r="BD7" s="278">
        <f>'Revenue Build-Up'!BD16</f>
        <v/>
      </c>
      <c r="BE7" s="278">
        <f>'Revenue Build-Up'!BE16</f>
        <v/>
      </c>
      <c r="BF7" s="278">
        <f>'Revenue Build-Up'!BF16</f>
        <v/>
      </c>
      <c r="BG7" s="278">
        <f>'Revenue Build-Up'!BG16</f>
        <v/>
      </c>
      <c r="BH7" s="278">
        <f>'Revenue Build-Up'!BH16</f>
        <v/>
      </c>
      <c r="BI7" s="278">
        <f>'Revenue Build-Up'!BI16</f>
        <v/>
      </c>
      <c r="BJ7" s="278">
        <f>'Revenue Build-Up'!BJ16</f>
        <v/>
      </c>
      <c r="BK7" s="278">
        <f>'Revenue Build-Up'!BK16</f>
        <v/>
      </c>
      <c r="BL7" s="278">
        <f>'Revenue Build-Up'!BL16</f>
        <v/>
      </c>
      <c r="BM7" s="278">
        <f>'Revenue Build-Up'!BM16</f>
        <v/>
      </c>
      <c r="BN7" s="278">
        <f>SUM(BB7:BM7)</f>
        <v/>
      </c>
    </row>
    <row r="8" ht="15" customHeight="1" s="82">
      <c r="A8" s="137" t="inlineStr">
        <is>
          <t>Express / Priority</t>
        </is>
      </c>
      <c r="B8" s="278">
        <f>'Revenue Build-Up'!B20</f>
        <v/>
      </c>
      <c r="C8" s="278">
        <f>'Revenue Build-Up'!C20</f>
        <v/>
      </c>
      <c r="D8" s="278">
        <f>'Revenue Build-Up'!D20</f>
        <v/>
      </c>
      <c r="E8" s="278">
        <f>'Revenue Build-Up'!E20</f>
        <v/>
      </c>
      <c r="F8" s="278">
        <f>'Revenue Build-Up'!F20</f>
        <v/>
      </c>
      <c r="G8" s="278">
        <f>'Revenue Build-Up'!G20</f>
        <v/>
      </c>
      <c r="H8" s="278">
        <f>'Revenue Build-Up'!H20</f>
        <v/>
      </c>
      <c r="I8" s="278">
        <f>'Revenue Build-Up'!I20</f>
        <v/>
      </c>
      <c r="J8" s="278">
        <f>'Revenue Build-Up'!J20</f>
        <v/>
      </c>
      <c r="K8" s="278">
        <f>'Revenue Build-Up'!K20</f>
        <v/>
      </c>
      <c r="L8" s="278">
        <f>'Revenue Build-Up'!L20</f>
        <v/>
      </c>
      <c r="M8" s="278">
        <f>'Revenue Build-Up'!M20</f>
        <v/>
      </c>
      <c r="N8" s="278">
        <f>SUM(B8:M8)</f>
        <v/>
      </c>
      <c r="O8" s="278">
        <f>'Revenue Build-Up'!O20</f>
        <v/>
      </c>
      <c r="P8" s="278">
        <f>'Revenue Build-Up'!P20</f>
        <v/>
      </c>
      <c r="Q8" s="278">
        <f>'Revenue Build-Up'!Q20</f>
        <v/>
      </c>
      <c r="R8" s="278">
        <f>'Revenue Build-Up'!R20</f>
        <v/>
      </c>
      <c r="S8" s="278">
        <f>'Revenue Build-Up'!S20</f>
        <v/>
      </c>
      <c r="T8" s="278">
        <f>'Revenue Build-Up'!T20</f>
        <v/>
      </c>
      <c r="U8" s="278">
        <f>'Revenue Build-Up'!U20</f>
        <v/>
      </c>
      <c r="V8" s="278">
        <f>'Revenue Build-Up'!V20</f>
        <v/>
      </c>
      <c r="W8" s="278">
        <f>'Revenue Build-Up'!W20</f>
        <v/>
      </c>
      <c r="X8" s="278">
        <f>'Revenue Build-Up'!X20</f>
        <v/>
      </c>
      <c r="Y8" s="278">
        <f>'Revenue Build-Up'!Y20</f>
        <v/>
      </c>
      <c r="Z8" s="278">
        <f>'Revenue Build-Up'!Z20</f>
        <v/>
      </c>
      <c r="AA8" s="278">
        <f>SUM(O8:Z8)</f>
        <v/>
      </c>
      <c r="AB8" s="278">
        <f>'Revenue Build-Up'!AB20</f>
        <v/>
      </c>
      <c r="AC8" s="278">
        <f>'Revenue Build-Up'!AC20</f>
        <v/>
      </c>
      <c r="AD8" s="278">
        <f>'Revenue Build-Up'!AD20</f>
        <v/>
      </c>
      <c r="AE8" s="278">
        <f>'Revenue Build-Up'!AE20</f>
        <v/>
      </c>
      <c r="AF8" s="278">
        <f>'Revenue Build-Up'!AF20</f>
        <v/>
      </c>
      <c r="AG8" s="278">
        <f>'Revenue Build-Up'!AG20</f>
        <v/>
      </c>
      <c r="AH8" s="278">
        <f>'Revenue Build-Up'!AH20</f>
        <v/>
      </c>
      <c r="AI8" s="278">
        <f>'Revenue Build-Up'!AI20</f>
        <v/>
      </c>
      <c r="AJ8" s="278">
        <f>'Revenue Build-Up'!AJ20</f>
        <v/>
      </c>
      <c r="AK8" s="278">
        <f>'Revenue Build-Up'!AK20</f>
        <v/>
      </c>
      <c r="AL8" s="278">
        <f>'Revenue Build-Up'!AL20</f>
        <v/>
      </c>
      <c r="AM8" s="278">
        <f>'Revenue Build-Up'!AM20</f>
        <v/>
      </c>
      <c r="AN8" s="278">
        <f>SUM(AB8:AM8)</f>
        <v/>
      </c>
      <c r="AO8" s="278">
        <f>'Revenue Build-Up'!AO20</f>
        <v/>
      </c>
      <c r="AP8" s="278">
        <f>'Revenue Build-Up'!AP20</f>
        <v/>
      </c>
      <c r="AQ8" s="278">
        <f>'Revenue Build-Up'!AQ20</f>
        <v/>
      </c>
      <c r="AR8" s="278">
        <f>'Revenue Build-Up'!AR20</f>
        <v/>
      </c>
      <c r="AS8" s="278">
        <f>'Revenue Build-Up'!AS20</f>
        <v/>
      </c>
      <c r="AT8" s="278">
        <f>'Revenue Build-Up'!AT20</f>
        <v/>
      </c>
      <c r="AU8" s="278">
        <f>'Revenue Build-Up'!AU20</f>
        <v/>
      </c>
      <c r="AV8" s="278">
        <f>'Revenue Build-Up'!AV20</f>
        <v/>
      </c>
      <c r="AW8" s="278">
        <f>'Revenue Build-Up'!AW20</f>
        <v/>
      </c>
      <c r="AX8" s="278">
        <f>'Revenue Build-Up'!AX20</f>
        <v/>
      </c>
      <c r="AY8" s="278">
        <f>'Revenue Build-Up'!AY20</f>
        <v/>
      </c>
      <c r="AZ8" s="278">
        <f>'Revenue Build-Up'!AZ20</f>
        <v/>
      </c>
      <c r="BA8" s="278">
        <f>SUM(AO8:AZ8)</f>
        <v/>
      </c>
      <c r="BB8" s="278">
        <f>'Revenue Build-Up'!BB20</f>
        <v/>
      </c>
      <c r="BC8" s="278">
        <f>'Revenue Build-Up'!BC20</f>
        <v/>
      </c>
      <c r="BD8" s="278">
        <f>'Revenue Build-Up'!BD20</f>
        <v/>
      </c>
      <c r="BE8" s="278">
        <f>'Revenue Build-Up'!BE20</f>
        <v/>
      </c>
      <c r="BF8" s="278">
        <f>'Revenue Build-Up'!BF20</f>
        <v/>
      </c>
      <c r="BG8" s="278">
        <f>'Revenue Build-Up'!BG20</f>
        <v/>
      </c>
      <c r="BH8" s="278">
        <f>'Revenue Build-Up'!BH20</f>
        <v/>
      </c>
      <c r="BI8" s="278">
        <f>'Revenue Build-Up'!BI20</f>
        <v/>
      </c>
      <c r="BJ8" s="278">
        <f>'Revenue Build-Up'!BJ20</f>
        <v/>
      </c>
      <c r="BK8" s="278">
        <f>'Revenue Build-Up'!BK20</f>
        <v/>
      </c>
      <c r="BL8" s="278">
        <f>'Revenue Build-Up'!BL20</f>
        <v/>
      </c>
      <c r="BM8" s="278">
        <f>'Revenue Build-Up'!BM20</f>
        <v/>
      </c>
      <c r="BN8" s="278">
        <f>SUM(BB8:BM8)</f>
        <v/>
      </c>
    </row>
    <row r="9" ht="15" customHeight="1" s="82">
      <c r="A9" s="137" t="inlineStr">
        <is>
          <t>Other revenue</t>
        </is>
      </c>
      <c r="B9" s="278">
        <f>'Revenue Build-Up'!B24</f>
        <v/>
      </c>
      <c r="C9" s="278">
        <f>'Revenue Build-Up'!C24</f>
        <v/>
      </c>
      <c r="D9" s="278">
        <f>'Revenue Build-Up'!D24</f>
        <v/>
      </c>
      <c r="E9" s="278">
        <f>'Revenue Build-Up'!E24</f>
        <v/>
      </c>
      <c r="F9" s="278">
        <f>'Revenue Build-Up'!F24</f>
        <v/>
      </c>
      <c r="G9" s="278">
        <f>'Revenue Build-Up'!G24</f>
        <v/>
      </c>
      <c r="H9" s="278">
        <f>'Revenue Build-Up'!H24</f>
        <v/>
      </c>
      <c r="I9" s="278">
        <f>'Revenue Build-Up'!I24</f>
        <v/>
      </c>
      <c r="J9" s="278">
        <f>'Revenue Build-Up'!J24</f>
        <v/>
      </c>
      <c r="K9" s="278">
        <f>'Revenue Build-Up'!K24</f>
        <v/>
      </c>
      <c r="L9" s="278">
        <f>'Revenue Build-Up'!L24</f>
        <v/>
      </c>
      <c r="M9" s="278">
        <f>'Revenue Build-Up'!M24</f>
        <v/>
      </c>
      <c r="N9" s="278">
        <f>SUM(B9:M9)</f>
        <v/>
      </c>
      <c r="O9" s="278">
        <f>'Revenue Build-Up'!O24</f>
        <v/>
      </c>
      <c r="P9" s="278">
        <f>'Revenue Build-Up'!P24</f>
        <v/>
      </c>
      <c r="Q9" s="278">
        <f>'Revenue Build-Up'!Q24</f>
        <v/>
      </c>
      <c r="R9" s="278">
        <f>'Revenue Build-Up'!R24</f>
        <v/>
      </c>
      <c r="S9" s="278">
        <f>'Revenue Build-Up'!S24</f>
        <v/>
      </c>
      <c r="T9" s="278">
        <f>'Revenue Build-Up'!T24</f>
        <v/>
      </c>
      <c r="U9" s="278">
        <f>'Revenue Build-Up'!U24</f>
        <v/>
      </c>
      <c r="V9" s="278">
        <f>'Revenue Build-Up'!V24</f>
        <v/>
      </c>
      <c r="W9" s="278">
        <f>'Revenue Build-Up'!W24</f>
        <v/>
      </c>
      <c r="X9" s="278">
        <f>'Revenue Build-Up'!X24</f>
        <v/>
      </c>
      <c r="Y9" s="278">
        <f>'Revenue Build-Up'!Y24</f>
        <v/>
      </c>
      <c r="Z9" s="278">
        <f>'Revenue Build-Up'!Z24</f>
        <v/>
      </c>
      <c r="AA9" s="278">
        <f>SUM(O9:Z9)</f>
        <v/>
      </c>
      <c r="AB9" s="278">
        <f>'Revenue Build-Up'!AB24</f>
        <v/>
      </c>
      <c r="AC9" s="278">
        <f>'Revenue Build-Up'!AC24</f>
        <v/>
      </c>
      <c r="AD9" s="278">
        <f>'Revenue Build-Up'!AD24</f>
        <v/>
      </c>
      <c r="AE9" s="278">
        <f>'Revenue Build-Up'!AE24</f>
        <v/>
      </c>
      <c r="AF9" s="278">
        <f>'Revenue Build-Up'!AF24</f>
        <v/>
      </c>
      <c r="AG9" s="278">
        <f>'Revenue Build-Up'!AG24</f>
        <v/>
      </c>
      <c r="AH9" s="278">
        <f>'Revenue Build-Up'!AH24</f>
        <v/>
      </c>
      <c r="AI9" s="278">
        <f>'Revenue Build-Up'!AI24</f>
        <v/>
      </c>
      <c r="AJ9" s="278">
        <f>'Revenue Build-Up'!AJ24</f>
        <v/>
      </c>
      <c r="AK9" s="278">
        <f>'Revenue Build-Up'!AK24</f>
        <v/>
      </c>
      <c r="AL9" s="278">
        <f>'Revenue Build-Up'!AL24</f>
        <v/>
      </c>
      <c r="AM9" s="278">
        <f>'Revenue Build-Up'!AM24</f>
        <v/>
      </c>
      <c r="AN9" s="278">
        <f>SUM(AB9:AM9)</f>
        <v/>
      </c>
      <c r="AO9" s="278">
        <f>'Revenue Build-Up'!AO24</f>
        <v/>
      </c>
      <c r="AP9" s="278">
        <f>'Revenue Build-Up'!AP24</f>
        <v/>
      </c>
      <c r="AQ9" s="278">
        <f>'Revenue Build-Up'!AQ24</f>
        <v/>
      </c>
      <c r="AR9" s="278">
        <f>'Revenue Build-Up'!AR24</f>
        <v/>
      </c>
      <c r="AS9" s="278">
        <f>'Revenue Build-Up'!AS24</f>
        <v/>
      </c>
      <c r="AT9" s="278">
        <f>'Revenue Build-Up'!AT24</f>
        <v/>
      </c>
      <c r="AU9" s="278">
        <f>'Revenue Build-Up'!AU24</f>
        <v/>
      </c>
      <c r="AV9" s="278">
        <f>'Revenue Build-Up'!AV24</f>
        <v/>
      </c>
      <c r="AW9" s="278">
        <f>'Revenue Build-Up'!AW24</f>
        <v/>
      </c>
      <c r="AX9" s="278">
        <f>'Revenue Build-Up'!AX24</f>
        <v/>
      </c>
      <c r="AY9" s="278">
        <f>'Revenue Build-Up'!AY24</f>
        <v/>
      </c>
      <c r="AZ9" s="278">
        <f>'Revenue Build-Up'!AZ24</f>
        <v/>
      </c>
      <c r="BA9" s="278">
        <f>SUM(AO9:AZ9)</f>
        <v/>
      </c>
      <c r="BB9" s="278">
        <f>'Revenue Build-Up'!BB24</f>
        <v/>
      </c>
      <c r="BC9" s="278">
        <f>'Revenue Build-Up'!BC24</f>
        <v/>
      </c>
      <c r="BD9" s="278">
        <f>'Revenue Build-Up'!BD24</f>
        <v/>
      </c>
      <c r="BE9" s="278">
        <f>'Revenue Build-Up'!BE24</f>
        <v/>
      </c>
      <c r="BF9" s="278">
        <f>'Revenue Build-Up'!BF24</f>
        <v/>
      </c>
      <c r="BG9" s="278">
        <f>'Revenue Build-Up'!BG24</f>
        <v/>
      </c>
      <c r="BH9" s="278">
        <f>'Revenue Build-Up'!BH24</f>
        <v/>
      </c>
      <c r="BI9" s="278">
        <f>'Revenue Build-Up'!BI24</f>
        <v/>
      </c>
      <c r="BJ9" s="278">
        <f>'Revenue Build-Up'!BJ24</f>
        <v/>
      </c>
      <c r="BK9" s="278">
        <f>'Revenue Build-Up'!BK24</f>
        <v/>
      </c>
      <c r="BL9" s="278">
        <f>'Revenue Build-Up'!BL24</f>
        <v/>
      </c>
      <c r="BM9" s="278">
        <f>'Revenue Build-Up'!BM24</f>
        <v/>
      </c>
      <c r="BN9" s="278">
        <f>SUM(BB9:BM9)</f>
        <v/>
      </c>
    </row>
    <row r="10" ht="15" customHeight="1" s="82">
      <c r="A10" s="279" t="inlineStr">
        <is>
          <t>Total Revenue</t>
        </is>
      </c>
      <c r="B10" s="280">
        <f>B5+B6+B7+B8+B9</f>
        <v/>
      </c>
      <c r="C10" s="280">
        <f>C5+C6+C7+C8+C9</f>
        <v/>
      </c>
      <c r="D10" s="280">
        <f>D5+D6+D7+D8+D9</f>
        <v/>
      </c>
      <c r="E10" s="280">
        <f>E5+E6+E7+E8+E9</f>
        <v/>
      </c>
      <c r="F10" s="280">
        <f>F5+F6+F7+F8+F9</f>
        <v/>
      </c>
      <c r="G10" s="280">
        <f>G5+G6+G7+G8+G9</f>
        <v/>
      </c>
      <c r="H10" s="280">
        <f>H5+H6+H7+H8+H9</f>
        <v/>
      </c>
      <c r="I10" s="280">
        <f>I5+I6+I7+I8+I9</f>
        <v/>
      </c>
      <c r="J10" s="280">
        <f>J5+J6+J7+J8+J9</f>
        <v/>
      </c>
      <c r="K10" s="280">
        <f>K5+K6+K7+K8+K9</f>
        <v/>
      </c>
      <c r="L10" s="280">
        <f>L5+L6+L7+L8+L9</f>
        <v/>
      </c>
      <c r="M10" s="280">
        <f>M5+M6+M7+M8+M9</f>
        <v/>
      </c>
      <c r="N10" s="280">
        <f>SUM(B10:M10)</f>
        <v/>
      </c>
      <c r="O10" s="280">
        <f>O5+O6+O7+O8+O9</f>
        <v/>
      </c>
      <c r="P10" s="280">
        <f>P5+P6+P7+P8+P9</f>
        <v/>
      </c>
      <c r="Q10" s="280">
        <f>Q5+Q6+Q7+Q8+Q9</f>
        <v/>
      </c>
      <c r="R10" s="280">
        <f>R5+R6+R7+R8+R9</f>
        <v/>
      </c>
      <c r="S10" s="280">
        <f>S5+S6+S7+S8+S9</f>
        <v/>
      </c>
      <c r="T10" s="280">
        <f>T5+T6+T7+T8+T9</f>
        <v/>
      </c>
      <c r="U10" s="280">
        <f>U5+U6+U7+U8+U9</f>
        <v/>
      </c>
      <c r="V10" s="280">
        <f>V5+V6+V7+V8+V9</f>
        <v/>
      </c>
      <c r="W10" s="280">
        <f>W5+W6+W7+W8+W9</f>
        <v/>
      </c>
      <c r="X10" s="280">
        <f>X5+X6+X7+X8+X9</f>
        <v/>
      </c>
      <c r="Y10" s="280">
        <f>Y5+Y6+Y7+Y8+Y9</f>
        <v/>
      </c>
      <c r="Z10" s="280">
        <f>Z5+Z6+Z7+Z8+Z9</f>
        <v/>
      </c>
      <c r="AA10" s="280">
        <f>SUM(O10:Z10)</f>
        <v/>
      </c>
      <c r="AB10" s="280">
        <f>AB5+AB6+AB7+AB8+AB9</f>
        <v/>
      </c>
      <c r="AC10" s="280">
        <f>AC5+AC6+AC7+AC8+AC9</f>
        <v/>
      </c>
      <c r="AD10" s="280">
        <f>AD5+AD6+AD7+AD8+AD9</f>
        <v/>
      </c>
      <c r="AE10" s="280">
        <f>AE5+AE6+AE7+AE8+AE9</f>
        <v/>
      </c>
      <c r="AF10" s="280">
        <f>AF5+AF6+AF7+AF8+AF9</f>
        <v/>
      </c>
      <c r="AG10" s="280">
        <f>AG5+AG6+AG7+AG8+AG9</f>
        <v/>
      </c>
      <c r="AH10" s="280">
        <f>AH5+AH6+AH7+AH8+AH9</f>
        <v/>
      </c>
      <c r="AI10" s="280">
        <f>AI5+AI6+AI7+AI8+AI9</f>
        <v/>
      </c>
      <c r="AJ10" s="280">
        <f>AJ5+AJ6+AJ7+AJ8+AJ9</f>
        <v/>
      </c>
      <c r="AK10" s="280">
        <f>AK5+AK6+AK7+AK8+AK9</f>
        <v/>
      </c>
      <c r="AL10" s="280">
        <f>AL5+AL6+AL7+AL8+AL9</f>
        <v/>
      </c>
      <c r="AM10" s="280">
        <f>AM5+AM6+AM7+AM8+AM9</f>
        <v/>
      </c>
      <c r="AN10" s="280">
        <f>SUM(AB10:AM10)</f>
        <v/>
      </c>
      <c r="AO10" s="280">
        <f>AO5+AO6+AO7+AO8+AO9</f>
        <v/>
      </c>
      <c r="AP10" s="280">
        <f>AP5+AP6+AP7+AP8+AP9</f>
        <v/>
      </c>
      <c r="AQ10" s="280">
        <f>AQ5+AQ6+AQ7+AQ8+AQ9</f>
        <v/>
      </c>
      <c r="AR10" s="280">
        <f>AR5+AR6+AR7+AR8+AR9</f>
        <v/>
      </c>
      <c r="AS10" s="280">
        <f>AS5+AS6+AS7+AS8+AS9</f>
        <v/>
      </c>
      <c r="AT10" s="280">
        <f>AT5+AT6+AT7+AT8+AT9</f>
        <v/>
      </c>
      <c r="AU10" s="280">
        <f>AU5+AU6+AU7+AU8+AU9</f>
        <v/>
      </c>
      <c r="AV10" s="280">
        <f>AV5+AV6+AV7+AV8+AV9</f>
        <v/>
      </c>
      <c r="AW10" s="280">
        <f>AW5+AW6+AW7+AW8+AW9</f>
        <v/>
      </c>
      <c r="AX10" s="280">
        <f>AX5+AX6+AX7+AX8+AX9</f>
        <v/>
      </c>
      <c r="AY10" s="280">
        <f>AY5+AY6+AY7+AY8+AY9</f>
        <v/>
      </c>
      <c r="AZ10" s="280">
        <f>AZ5+AZ6+AZ7+AZ8+AZ9</f>
        <v/>
      </c>
      <c r="BA10" s="280">
        <f>SUM(AO10:AZ10)</f>
        <v/>
      </c>
      <c r="BB10" s="280">
        <f>BB5+BB6+BB7+BB8+BB9</f>
        <v/>
      </c>
      <c r="BC10" s="280">
        <f>BC5+BC6+BC7+BC8+BC9</f>
        <v/>
      </c>
      <c r="BD10" s="280">
        <f>BD5+BD6+BD7+BD8+BD9</f>
        <v/>
      </c>
      <c r="BE10" s="280">
        <f>BE5+BE6+BE7+BE8+BE9</f>
        <v/>
      </c>
      <c r="BF10" s="280">
        <f>BF5+BF6+BF7+BF8+BF9</f>
        <v/>
      </c>
      <c r="BG10" s="280">
        <f>BG5+BG6+BG7+BG8+BG9</f>
        <v/>
      </c>
      <c r="BH10" s="280">
        <f>BH5+BH6+BH7+BH8+BH9</f>
        <v/>
      </c>
      <c r="BI10" s="280">
        <f>BI5+BI6+BI7+BI8+BI9</f>
        <v/>
      </c>
      <c r="BJ10" s="280">
        <f>BJ5+BJ6+BJ7+BJ8+BJ9</f>
        <v/>
      </c>
      <c r="BK10" s="280">
        <f>BK5+BK6+BK7+BK8+BK9</f>
        <v/>
      </c>
      <c r="BL10" s="280">
        <f>BL5+BL6+BL7+BL8+BL9</f>
        <v/>
      </c>
      <c r="BM10" s="280">
        <f>BM5+BM6+BM7+BM8+BM9</f>
        <v/>
      </c>
      <c r="BN10" s="280">
        <f>SUM(BB10:BM10)</f>
        <v/>
      </c>
    </row>
    <row r="11" ht="15" customHeight="1" s="82">
      <c r="A11" s="144">
        <f>IFERROR("(-) "&amp;VLOOKUP(Assumptions!$J$5,INDUSTRY_MAP,5,FALSE()),"(-) Raw materials")</f>
        <v/>
      </c>
      <c r="B11" s="281">
        <f>Expenses!B5</f>
        <v/>
      </c>
      <c r="C11" s="281">
        <f>Expenses!C5</f>
        <v/>
      </c>
      <c r="D11" s="281">
        <f>Expenses!D5</f>
        <v/>
      </c>
      <c r="E11" s="281">
        <f>Expenses!E5</f>
        <v/>
      </c>
      <c r="F11" s="281">
        <f>Expenses!F5</f>
        <v/>
      </c>
      <c r="G11" s="281">
        <f>Expenses!G5</f>
        <v/>
      </c>
      <c r="H11" s="281">
        <f>Expenses!H5</f>
        <v/>
      </c>
      <c r="I11" s="281">
        <f>Expenses!I5</f>
        <v/>
      </c>
      <c r="J11" s="281">
        <f>Expenses!J5</f>
        <v/>
      </c>
      <c r="K11" s="281">
        <f>Expenses!K5</f>
        <v/>
      </c>
      <c r="L11" s="281">
        <f>Expenses!L5</f>
        <v/>
      </c>
      <c r="M11" s="281">
        <f>Expenses!M5</f>
        <v/>
      </c>
      <c r="N11" s="281">
        <f>SUM(B11:M11)</f>
        <v/>
      </c>
      <c r="O11" s="281">
        <f>Expenses!O5</f>
        <v/>
      </c>
      <c r="P11" s="281">
        <f>Expenses!P5</f>
        <v/>
      </c>
      <c r="Q11" s="281">
        <f>Expenses!Q5</f>
        <v/>
      </c>
      <c r="R11" s="281">
        <f>Expenses!R5</f>
        <v/>
      </c>
      <c r="S11" s="281">
        <f>Expenses!S5</f>
        <v/>
      </c>
      <c r="T11" s="281">
        <f>Expenses!T5</f>
        <v/>
      </c>
      <c r="U11" s="281">
        <f>Expenses!U5</f>
        <v/>
      </c>
      <c r="V11" s="281">
        <f>Expenses!V5</f>
        <v/>
      </c>
      <c r="W11" s="281">
        <f>Expenses!W5</f>
        <v/>
      </c>
      <c r="X11" s="281">
        <f>Expenses!X5</f>
        <v/>
      </c>
      <c r="Y11" s="281">
        <f>Expenses!Y5</f>
        <v/>
      </c>
      <c r="Z11" s="281">
        <f>Expenses!Z5</f>
        <v/>
      </c>
      <c r="AA11" s="281">
        <f>SUM(O11:Z11)</f>
        <v/>
      </c>
      <c r="AB11" s="281">
        <f>Expenses!AB5</f>
        <v/>
      </c>
      <c r="AC11" s="281">
        <f>Expenses!AC5</f>
        <v/>
      </c>
      <c r="AD11" s="281">
        <f>Expenses!AD5</f>
        <v/>
      </c>
      <c r="AE11" s="281">
        <f>Expenses!AE5</f>
        <v/>
      </c>
      <c r="AF11" s="281">
        <f>Expenses!AF5</f>
        <v/>
      </c>
      <c r="AG11" s="281">
        <f>Expenses!AG5</f>
        <v/>
      </c>
      <c r="AH11" s="281">
        <f>Expenses!AH5</f>
        <v/>
      </c>
      <c r="AI11" s="281">
        <f>Expenses!AI5</f>
        <v/>
      </c>
      <c r="AJ11" s="281">
        <f>Expenses!AJ5</f>
        <v/>
      </c>
      <c r="AK11" s="281">
        <f>Expenses!AK5</f>
        <v/>
      </c>
      <c r="AL11" s="281">
        <f>Expenses!AL5</f>
        <v/>
      </c>
      <c r="AM11" s="281">
        <f>Expenses!AM5</f>
        <v/>
      </c>
      <c r="AN11" s="281">
        <f>SUM(AB11:AM11)</f>
        <v/>
      </c>
      <c r="AO11" s="281">
        <f>Expenses!AO5</f>
        <v/>
      </c>
      <c r="AP11" s="281">
        <f>Expenses!AP5</f>
        <v/>
      </c>
      <c r="AQ11" s="281">
        <f>Expenses!AQ5</f>
        <v/>
      </c>
      <c r="AR11" s="281">
        <f>Expenses!AR5</f>
        <v/>
      </c>
      <c r="AS11" s="281">
        <f>Expenses!AS5</f>
        <v/>
      </c>
      <c r="AT11" s="281">
        <f>Expenses!AT5</f>
        <v/>
      </c>
      <c r="AU11" s="281">
        <f>Expenses!AU5</f>
        <v/>
      </c>
      <c r="AV11" s="281">
        <f>Expenses!AV5</f>
        <v/>
      </c>
      <c r="AW11" s="281">
        <f>Expenses!AW5</f>
        <v/>
      </c>
      <c r="AX11" s="281">
        <f>Expenses!AX5</f>
        <v/>
      </c>
      <c r="AY11" s="281">
        <f>Expenses!AY5</f>
        <v/>
      </c>
      <c r="AZ11" s="281">
        <f>Expenses!AZ5</f>
        <v/>
      </c>
      <c r="BA11" s="281">
        <f>SUM(AO11:AZ11)</f>
        <v/>
      </c>
      <c r="BB11" s="281">
        <f>Expenses!BB5</f>
        <v/>
      </c>
      <c r="BC11" s="281">
        <f>Expenses!BC5</f>
        <v/>
      </c>
      <c r="BD11" s="281">
        <f>Expenses!BD5</f>
        <v/>
      </c>
      <c r="BE11" s="281">
        <f>Expenses!BE5</f>
        <v/>
      </c>
      <c r="BF11" s="281">
        <f>Expenses!BF5</f>
        <v/>
      </c>
      <c r="BG11" s="281">
        <f>Expenses!BG5</f>
        <v/>
      </c>
      <c r="BH11" s="281">
        <f>Expenses!BH5</f>
        <v/>
      </c>
      <c r="BI11" s="281">
        <f>Expenses!BI5</f>
        <v/>
      </c>
      <c r="BJ11" s="281">
        <f>Expenses!BJ5</f>
        <v/>
      </c>
      <c r="BK11" s="281">
        <f>Expenses!BK5</f>
        <v/>
      </c>
      <c r="BL11" s="281">
        <f>Expenses!BL5</f>
        <v/>
      </c>
      <c r="BM11" s="281">
        <f>Expenses!BM5</f>
        <v/>
      </c>
      <c r="BN11" s="281">
        <f>SUM(BB11:BM11)</f>
        <v/>
      </c>
    </row>
    <row r="12" ht="15" customHeight="1" s="82">
      <c r="A12" s="144">
        <f>IFERROR("(-) "&amp;VLOOKUP(Assumptions!$J$5,INDUSTRY_MAP,7,FALSE()),"(-) Power &amp; fuel")</f>
        <v/>
      </c>
      <c r="B12" s="281">
        <f>Expenses!B6</f>
        <v/>
      </c>
      <c r="C12" s="281">
        <f>Expenses!C6</f>
        <v/>
      </c>
      <c r="D12" s="281">
        <f>Expenses!D6</f>
        <v/>
      </c>
      <c r="E12" s="281">
        <f>Expenses!E6</f>
        <v/>
      </c>
      <c r="F12" s="281">
        <f>Expenses!F6</f>
        <v/>
      </c>
      <c r="G12" s="281">
        <f>Expenses!G6</f>
        <v/>
      </c>
      <c r="H12" s="281">
        <f>Expenses!H6</f>
        <v/>
      </c>
      <c r="I12" s="281">
        <f>Expenses!I6</f>
        <v/>
      </c>
      <c r="J12" s="281">
        <f>Expenses!J6</f>
        <v/>
      </c>
      <c r="K12" s="281">
        <f>Expenses!K6</f>
        <v/>
      </c>
      <c r="L12" s="281">
        <f>Expenses!L6</f>
        <v/>
      </c>
      <c r="M12" s="281">
        <f>Expenses!M6</f>
        <v/>
      </c>
      <c r="N12" s="281">
        <f>SUM(B12:M12)</f>
        <v/>
      </c>
      <c r="O12" s="281">
        <f>Expenses!O6</f>
        <v/>
      </c>
      <c r="P12" s="281">
        <f>Expenses!P6</f>
        <v/>
      </c>
      <c r="Q12" s="281">
        <f>Expenses!Q6</f>
        <v/>
      </c>
      <c r="R12" s="281">
        <f>Expenses!R6</f>
        <v/>
      </c>
      <c r="S12" s="281">
        <f>Expenses!S6</f>
        <v/>
      </c>
      <c r="T12" s="281">
        <f>Expenses!T6</f>
        <v/>
      </c>
      <c r="U12" s="281">
        <f>Expenses!U6</f>
        <v/>
      </c>
      <c r="V12" s="281">
        <f>Expenses!V6</f>
        <v/>
      </c>
      <c r="W12" s="281">
        <f>Expenses!W6</f>
        <v/>
      </c>
      <c r="X12" s="281">
        <f>Expenses!X6</f>
        <v/>
      </c>
      <c r="Y12" s="281">
        <f>Expenses!Y6</f>
        <v/>
      </c>
      <c r="Z12" s="281">
        <f>Expenses!Z6</f>
        <v/>
      </c>
      <c r="AA12" s="281">
        <f>SUM(O12:Z12)</f>
        <v/>
      </c>
      <c r="AB12" s="281">
        <f>Expenses!AB6</f>
        <v/>
      </c>
      <c r="AC12" s="281">
        <f>Expenses!AC6</f>
        <v/>
      </c>
      <c r="AD12" s="281">
        <f>Expenses!AD6</f>
        <v/>
      </c>
      <c r="AE12" s="281">
        <f>Expenses!AE6</f>
        <v/>
      </c>
      <c r="AF12" s="281">
        <f>Expenses!AF6</f>
        <v/>
      </c>
      <c r="AG12" s="281">
        <f>Expenses!AG6</f>
        <v/>
      </c>
      <c r="AH12" s="281">
        <f>Expenses!AH6</f>
        <v/>
      </c>
      <c r="AI12" s="281">
        <f>Expenses!AI6</f>
        <v/>
      </c>
      <c r="AJ12" s="281">
        <f>Expenses!AJ6</f>
        <v/>
      </c>
      <c r="AK12" s="281">
        <f>Expenses!AK6</f>
        <v/>
      </c>
      <c r="AL12" s="281">
        <f>Expenses!AL6</f>
        <v/>
      </c>
      <c r="AM12" s="281">
        <f>Expenses!AM6</f>
        <v/>
      </c>
      <c r="AN12" s="281">
        <f>SUM(AB12:AM12)</f>
        <v/>
      </c>
      <c r="AO12" s="281">
        <f>Expenses!AO6</f>
        <v/>
      </c>
      <c r="AP12" s="281">
        <f>Expenses!AP6</f>
        <v/>
      </c>
      <c r="AQ12" s="281">
        <f>Expenses!AQ6</f>
        <v/>
      </c>
      <c r="AR12" s="281">
        <f>Expenses!AR6</f>
        <v/>
      </c>
      <c r="AS12" s="281">
        <f>Expenses!AS6</f>
        <v/>
      </c>
      <c r="AT12" s="281">
        <f>Expenses!AT6</f>
        <v/>
      </c>
      <c r="AU12" s="281">
        <f>Expenses!AU6</f>
        <v/>
      </c>
      <c r="AV12" s="281">
        <f>Expenses!AV6</f>
        <v/>
      </c>
      <c r="AW12" s="281">
        <f>Expenses!AW6</f>
        <v/>
      </c>
      <c r="AX12" s="281">
        <f>Expenses!AX6</f>
        <v/>
      </c>
      <c r="AY12" s="281">
        <f>Expenses!AY6</f>
        <v/>
      </c>
      <c r="AZ12" s="281">
        <f>Expenses!AZ6</f>
        <v/>
      </c>
      <c r="BA12" s="281">
        <f>SUM(AO12:AZ12)</f>
        <v/>
      </c>
      <c r="BB12" s="281">
        <f>Expenses!BB6</f>
        <v/>
      </c>
      <c r="BC12" s="281">
        <f>Expenses!BC6</f>
        <v/>
      </c>
      <c r="BD12" s="281">
        <f>Expenses!BD6</f>
        <v/>
      </c>
      <c r="BE12" s="281">
        <f>Expenses!BE6</f>
        <v/>
      </c>
      <c r="BF12" s="281">
        <f>Expenses!BF6</f>
        <v/>
      </c>
      <c r="BG12" s="281">
        <f>Expenses!BG6</f>
        <v/>
      </c>
      <c r="BH12" s="281">
        <f>Expenses!BH6</f>
        <v/>
      </c>
      <c r="BI12" s="281">
        <f>Expenses!BI6</f>
        <v/>
      </c>
      <c r="BJ12" s="281">
        <f>Expenses!BJ6</f>
        <v/>
      </c>
      <c r="BK12" s="281">
        <f>Expenses!BK6</f>
        <v/>
      </c>
      <c r="BL12" s="281">
        <f>Expenses!BL6</f>
        <v/>
      </c>
      <c r="BM12" s="281">
        <f>Expenses!BM6</f>
        <v/>
      </c>
      <c r="BN12" s="281">
        <f>SUM(BB12:BM12)</f>
        <v/>
      </c>
    </row>
    <row r="13" ht="15" customHeight="1" s="82">
      <c r="A13" s="144" t="inlineStr">
        <is>
          <t>(-) Direct wages &amp; salaries</t>
        </is>
      </c>
      <c r="B13" s="281">
        <f>Expenses!B7</f>
        <v/>
      </c>
      <c r="C13" s="281">
        <f>Expenses!C7</f>
        <v/>
      </c>
      <c r="D13" s="281">
        <f>Expenses!D7</f>
        <v/>
      </c>
      <c r="E13" s="281">
        <f>Expenses!E7</f>
        <v/>
      </c>
      <c r="F13" s="281">
        <f>Expenses!F7</f>
        <v/>
      </c>
      <c r="G13" s="281">
        <f>Expenses!G7</f>
        <v/>
      </c>
      <c r="H13" s="281">
        <f>Expenses!H7</f>
        <v/>
      </c>
      <c r="I13" s="281">
        <f>Expenses!I7</f>
        <v/>
      </c>
      <c r="J13" s="281">
        <f>Expenses!J7</f>
        <v/>
      </c>
      <c r="K13" s="281">
        <f>Expenses!K7</f>
        <v/>
      </c>
      <c r="L13" s="281">
        <f>Expenses!L7</f>
        <v/>
      </c>
      <c r="M13" s="281">
        <f>Expenses!M7</f>
        <v/>
      </c>
      <c r="N13" s="281">
        <f>SUM(B13:M13)</f>
        <v/>
      </c>
      <c r="O13" s="281">
        <f>Expenses!O7</f>
        <v/>
      </c>
      <c r="P13" s="281">
        <f>Expenses!P7</f>
        <v/>
      </c>
      <c r="Q13" s="281">
        <f>Expenses!Q7</f>
        <v/>
      </c>
      <c r="R13" s="281">
        <f>Expenses!R7</f>
        <v/>
      </c>
      <c r="S13" s="281">
        <f>Expenses!S7</f>
        <v/>
      </c>
      <c r="T13" s="281">
        <f>Expenses!T7</f>
        <v/>
      </c>
      <c r="U13" s="281">
        <f>Expenses!U7</f>
        <v/>
      </c>
      <c r="V13" s="281">
        <f>Expenses!V7</f>
        <v/>
      </c>
      <c r="W13" s="281">
        <f>Expenses!W7</f>
        <v/>
      </c>
      <c r="X13" s="281">
        <f>Expenses!X7</f>
        <v/>
      </c>
      <c r="Y13" s="281">
        <f>Expenses!Y7</f>
        <v/>
      </c>
      <c r="Z13" s="281">
        <f>Expenses!Z7</f>
        <v/>
      </c>
      <c r="AA13" s="281">
        <f>SUM(O13:Z13)</f>
        <v/>
      </c>
      <c r="AB13" s="281">
        <f>Expenses!AB7</f>
        <v/>
      </c>
      <c r="AC13" s="281">
        <f>Expenses!AC7</f>
        <v/>
      </c>
      <c r="AD13" s="281">
        <f>Expenses!AD7</f>
        <v/>
      </c>
      <c r="AE13" s="281">
        <f>Expenses!AE7</f>
        <v/>
      </c>
      <c r="AF13" s="281">
        <f>Expenses!AF7</f>
        <v/>
      </c>
      <c r="AG13" s="281">
        <f>Expenses!AG7</f>
        <v/>
      </c>
      <c r="AH13" s="281">
        <f>Expenses!AH7</f>
        <v/>
      </c>
      <c r="AI13" s="281">
        <f>Expenses!AI7</f>
        <v/>
      </c>
      <c r="AJ13" s="281">
        <f>Expenses!AJ7</f>
        <v/>
      </c>
      <c r="AK13" s="281">
        <f>Expenses!AK7</f>
        <v/>
      </c>
      <c r="AL13" s="281">
        <f>Expenses!AL7</f>
        <v/>
      </c>
      <c r="AM13" s="281">
        <f>Expenses!AM7</f>
        <v/>
      </c>
      <c r="AN13" s="281">
        <f>SUM(AB13:AM13)</f>
        <v/>
      </c>
      <c r="AO13" s="281">
        <f>Expenses!AO7</f>
        <v/>
      </c>
      <c r="AP13" s="281">
        <f>Expenses!AP7</f>
        <v/>
      </c>
      <c r="AQ13" s="281">
        <f>Expenses!AQ7</f>
        <v/>
      </c>
      <c r="AR13" s="281">
        <f>Expenses!AR7</f>
        <v/>
      </c>
      <c r="AS13" s="281">
        <f>Expenses!AS7</f>
        <v/>
      </c>
      <c r="AT13" s="281">
        <f>Expenses!AT7</f>
        <v/>
      </c>
      <c r="AU13" s="281">
        <f>Expenses!AU7</f>
        <v/>
      </c>
      <c r="AV13" s="281">
        <f>Expenses!AV7</f>
        <v/>
      </c>
      <c r="AW13" s="281">
        <f>Expenses!AW7</f>
        <v/>
      </c>
      <c r="AX13" s="281">
        <f>Expenses!AX7</f>
        <v/>
      </c>
      <c r="AY13" s="281">
        <f>Expenses!AY7</f>
        <v/>
      </c>
      <c r="AZ13" s="281">
        <f>Expenses!AZ7</f>
        <v/>
      </c>
      <c r="BA13" s="281">
        <f>SUM(AO13:AZ13)</f>
        <v/>
      </c>
      <c r="BB13" s="281">
        <f>Expenses!BB7</f>
        <v/>
      </c>
      <c r="BC13" s="281">
        <f>Expenses!BC7</f>
        <v/>
      </c>
      <c r="BD13" s="281">
        <f>Expenses!BD7</f>
        <v/>
      </c>
      <c r="BE13" s="281">
        <f>Expenses!BE7</f>
        <v/>
      </c>
      <c r="BF13" s="281">
        <f>Expenses!BF7</f>
        <v/>
      </c>
      <c r="BG13" s="281">
        <f>Expenses!BG7</f>
        <v/>
      </c>
      <c r="BH13" s="281">
        <f>Expenses!BH7</f>
        <v/>
      </c>
      <c r="BI13" s="281">
        <f>Expenses!BI7</f>
        <v/>
      </c>
      <c r="BJ13" s="281">
        <f>Expenses!BJ7</f>
        <v/>
      </c>
      <c r="BK13" s="281">
        <f>Expenses!BK7</f>
        <v/>
      </c>
      <c r="BL13" s="281">
        <f>Expenses!BL7</f>
        <v/>
      </c>
      <c r="BM13" s="281">
        <f>Expenses!BM7</f>
        <v/>
      </c>
      <c r="BN13" s="281">
        <f>SUM(BB13:BM13)</f>
        <v/>
      </c>
    </row>
    <row r="14" ht="15" customHeight="1" s="82">
      <c r="A14" s="144" t="inlineStr">
        <is>
          <t>(-) Other variable cost</t>
        </is>
      </c>
      <c r="B14" s="281">
        <f>Expenses!B8</f>
        <v/>
      </c>
      <c r="C14" s="281">
        <f>Expenses!C8</f>
        <v/>
      </c>
      <c r="D14" s="281">
        <f>Expenses!D8</f>
        <v/>
      </c>
      <c r="E14" s="281">
        <f>Expenses!E8</f>
        <v/>
      </c>
      <c r="F14" s="281">
        <f>Expenses!F8</f>
        <v/>
      </c>
      <c r="G14" s="281">
        <f>Expenses!G8</f>
        <v/>
      </c>
      <c r="H14" s="281">
        <f>Expenses!H8</f>
        <v/>
      </c>
      <c r="I14" s="281">
        <f>Expenses!I8</f>
        <v/>
      </c>
      <c r="J14" s="281">
        <f>Expenses!J8</f>
        <v/>
      </c>
      <c r="K14" s="281">
        <f>Expenses!K8</f>
        <v/>
      </c>
      <c r="L14" s="281">
        <f>Expenses!L8</f>
        <v/>
      </c>
      <c r="M14" s="281">
        <f>Expenses!M8</f>
        <v/>
      </c>
      <c r="N14" s="281">
        <f>SUM(B14:M14)</f>
        <v/>
      </c>
      <c r="O14" s="281">
        <f>Expenses!O8</f>
        <v/>
      </c>
      <c r="P14" s="281">
        <f>Expenses!P8</f>
        <v/>
      </c>
      <c r="Q14" s="281">
        <f>Expenses!Q8</f>
        <v/>
      </c>
      <c r="R14" s="281">
        <f>Expenses!R8</f>
        <v/>
      </c>
      <c r="S14" s="281">
        <f>Expenses!S8</f>
        <v/>
      </c>
      <c r="T14" s="281">
        <f>Expenses!T8</f>
        <v/>
      </c>
      <c r="U14" s="281">
        <f>Expenses!U8</f>
        <v/>
      </c>
      <c r="V14" s="281">
        <f>Expenses!V8</f>
        <v/>
      </c>
      <c r="W14" s="281">
        <f>Expenses!W8</f>
        <v/>
      </c>
      <c r="X14" s="281">
        <f>Expenses!X8</f>
        <v/>
      </c>
      <c r="Y14" s="281">
        <f>Expenses!Y8</f>
        <v/>
      </c>
      <c r="Z14" s="281">
        <f>Expenses!Z8</f>
        <v/>
      </c>
      <c r="AA14" s="281">
        <f>SUM(O14:Z14)</f>
        <v/>
      </c>
      <c r="AB14" s="281">
        <f>Expenses!AB8</f>
        <v/>
      </c>
      <c r="AC14" s="281">
        <f>Expenses!AC8</f>
        <v/>
      </c>
      <c r="AD14" s="281">
        <f>Expenses!AD8</f>
        <v/>
      </c>
      <c r="AE14" s="281">
        <f>Expenses!AE8</f>
        <v/>
      </c>
      <c r="AF14" s="281">
        <f>Expenses!AF8</f>
        <v/>
      </c>
      <c r="AG14" s="281">
        <f>Expenses!AG8</f>
        <v/>
      </c>
      <c r="AH14" s="281">
        <f>Expenses!AH8</f>
        <v/>
      </c>
      <c r="AI14" s="281">
        <f>Expenses!AI8</f>
        <v/>
      </c>
      <c r="AJ14" s="281">
        <f>Expenses!AJ8</f>
        <v/>
      </c>
      <c r="AK14" s="281">
        <f>Expenses!AK8</f>
        <v/>
      </c>
      <c r="AL14" s="281">
        <f>Expenses!AL8</f>
        <v/>
      </c>
      <c r="AM14" s="281">
        <f>Expenses!AM8</f>
        <v/>
      </c>
      <c r="AN14" s="281">
        <f>SUM(AB14:AM14)</f>
        <v/>
      </c>
      <c r="AO14" s="281">
        <f>Expenses!AO8</f>
        <v/>
      </c>
      <c r="AP14" s="281">
        <f>Expenses!AP8</f>
        <v/>
      </c>
      <c r="AQ14" s="281">
        <f>Expenses!AQ8</f>
        <v/>
      </c>
      <c r="AR14" s="281">
        <f>Expenses!AR8</f>
        <v/>
      </c>
      <c r="AS14" s="281">
        <f>Expenses!AS8</f>
        <v/>
      </c>
      <c r="AT14" s="281">
        <f>Expenses!AT8</f>
        <v/>
      </c>
      <c r="AU14" s="281">
        <f>Expenses!AU8</f>
        <v/>
      </c>
      <c r="AV14" s="281">
        <f>Expenses!AV8</f>
        <v/>
      </c>
      <c r="AW14" s="281">
        <f>Expenses!AW8</f>
        <v/>
      </c>
      <c r="AX14" s="281">
        <f>Expenses!AX8</f>
        <v/>
      </c>
      <c r="AY14" s="281">
        <f>Expenses!AY8</f>
        <v/>
      </c>
      <c r="AZ14" s="281">
        <f>Expenses!AZ8</f>
        <v/>
      </c>
      <c r="BA14" s="281">
        <f>SUM(AO14:AZ14)</f>
        <v/>
      </c>
      <c r="BB14" s="281">
        <f>Expenses!BB8</f>
        <v/>
      </c>
      <c r="BC14" s="281">
        <f>Expenses!BC8</f>
        <v/>
      </c>
      <c r="BD14" s="281">
        <f>Expenses!BD8</f>
        <v/>
      </c>
      <c r="BE14" s="281">
        <f>Expenses!BE8</f>
        <v/>
      </c>
      <c r="BF14" s="281">
        <f>Expenses!BF8</f>
        <v/>
      </c>
      <c r="BG14" s="281">
        <f>Expenses!BG8</f>
        <v/>
      </c>
      <c r="BH14" s="281">
        <f>Expenses!BH8</f>
        <v/>
      </c>
      <c r="BI14" s="281">
        <f>Expenses!BI8</f>
        <v/>
      </c>
      <c r="BJ14" s="281">
        <f>Expenses!BJ8</f>
        <v/>
      </c>
      <c r="BK14" s="281">
        <f>Expenses!BK8</f>
        <v/>
      </c>
      <c r="BL14" s="281">
        <f>Expenses!BL8</f>
        <v/>
      </c>
      <c r="BM14" s="281">
        <f>Expenses!BM8</f>
        <v/>
      </c>
      <c r="BN14" s="281">
        <f>SUM(BB14:BM14)</f>
        <v/>
      </c>
    </row>
    <row r="15" ht="15" customHeight="1" s="82">
      <c r="A15" s="144">
        <f>IFERROR("(-) "&amp;VLOOKUP(Assumptions!$J$5,INDUSTRY_MAP,8,FALSE()),"(-) Factory overheads")</f>
        <v/>
      </c>
      <c r="B15" s="281">
        <f>Expenses!B9</f>
        <v/>
      </c>
      <c r="C15" s="281">
        <f>Expenses!C9</f>
        <v/>
      </c>
      <c r="D15" s="281">
        <f>Expenses!D9</f>
        <v/>
      </c>
      <c r="E15" s="281">
        <f>Expenses!E9</f>
        <v/>
      </c>
      <c r="F15" s="281">
        <f>Expenses!F9</f>
        <v/>
      </c>
      <c r="G15" s="281">
        <f>Expenses!G9</f>
        <v/>
      </c>
      <c r="H15" s="281">
        <f>Expenses!H9</f>
        <v/>
      </c>
      <c r="I15" s="281">
        <f>Expenses!I9</f>
        <v/>
      </c>
      <c r="J15" s="281">
        <f>Expenses!J9</f>
        <v/>
      </c>
      <c r="K15" s="281">
        <f>Expenses!K9</f>
        <v/>
      </c>
      <c r="L15" s="281">
        <f>Expenses!L9</f>
        <v/>
      </c>
      <c r="M15" s="281">
        <f>Expenses!M9</f>
        <v/>
      </c>
      <c r="N15" s="281">
        <f>SUM(B15:M15)</f>
        <v/>
      </c>
      <c r="O15" s="281">
        <f>Expenses!O9</f>
        <v/>
      </c>
      <c r="P15" s="281">
        <f>Expenses!P9</f>
        <v/>
      </c>
      <c r="Q15" s="281">
        <f>Expenses!Q9</f>
        <v/>
      </c>
      <c r="R15" s="281">
        <f>Expenses!R9</f>
        <v/>
      </c>
      <c r="S15" s="281">
        <f>Expenses!S9</f>
        <v/>
      </c>
      <c r="T15" s="281">
        <f>Expenses!T9</f>
        <v/>
      </c>
      <c r="U15" s="281">
        <f>Expenses!U9</f>
        <v/>
      </c>
      <c r="V15" s="281">
        <f>Expenses!V9</f>
        <v/>
      </c>
      <c r="W15" s="281">
        <f>Expenses!W9</f>
        <v/>
      </c>
      <c r="X15" s="281">
        <f>Expenses!X9</f>
        <v/>
      </c>
      <c r="Y15" s="281">
        <f>Expenses!Y9</f>
        <v/>
      </c>
      <c r="Z15" s="281">
        <f>Expenses!Z9</f>
        <v/>
      </c>
      <c r="AA15" s="281">
        <f>SUM(O15:Z15)</f>
        <v/>
      </c>
      <c r="AB15" s="281">
        <f>Expenses!AB9</f>
        <v/>
      </c>
      <c r="AC15" s="281">
        <f>Expenses!AC9</f>
        <v/>
      </c>
      <c r="AD15" s="281">
        <f>Expenses!AD9</f>
        <v/>
      </c>
      <c r="AE15" s="281">
        <f>Expenses!AE9</f>
        <v/>
      </c>
      <c r="AF15" s="281">
        <f>Expenses!AF9</f>
        <v/>
      </c>
      <c r="AG15" s="281">
        <f>Expenses!AG9</f>
        <v/>
      </c>
      <c r="AH15" s="281">
        <f>Expenses!AH9</f>
        <v/>
      </c>
      <c r="AI15" s="281">
        <f>Expenses!AI9</f>
        <v/>
      </c>
      <c r="AJ15" s="281">
        <f>Expenses!AJ9</f>
        <v/>
      </c>
      <c r="AK15" s="281">
        <f>Expenses!AK9</f>
        <v/>
      </c>
      <c r="AL15" s="281">
        <f>Expenses!AL9</f>
        <v/>
      </c>
      <c r="AM15" s="281">
        <f>Expenses!AM9</f>
        <v/>
      </c>
      <c r="AN15" s="281">
        <f>SUM(AB15:AM15)</f>
        <v/>
      </c>
      <c r="AO15" s="281">
        <f>Expenses!AO9</f>
        <v/>
      </c>
      <c r="AP15" s="281">
        <f>Expenses!AP9</f>
        <v/>
      </c>
      <c r="AQ15" s="281">
        <f>Expenses!AQ9</f>
        <v/>
      </c>
      <c r="AR15" s="281">
        <f>Expenses!AR9</f>
        <v/>
      </c>
      <c r="AS15" s="281">
        <f>Expenses!AS9</f>
        <v/>
      </c>
      <c r="AT15" s="281">
        <f>Expenses!AT9</f>
        <v/>
      </c>
      <c r="AU15" s="281">
        <f>Expenses!AU9</f>
        <v/>
      </c>
      <c r="AV15" s="281">
        <f>Expenses!AV9</f>
        <v/>
      </c>
      <c r="AW15" s="281">
        <f>Expenses!AW9</f>
        <v/>
      </c>
      <c r="AX15" s="281">
        <f>Expenses!AX9</f>
        <v/>
      </c>
      <c r="AY15" s="281">
        <f>Expenses!AY9</f>
        <v/>
      </c>
      <c r="AZ15" s="281">
        <f>Expenses!AZ9</f>
        <v/>
      </c>
      <c r="BA15" s="281">
        <f>SUM(AO15:AZ15)</f>
        <v/>
      </c>
      <c r="BB15" s="281">
        <f>Expenses!BB9</f>
        <v/>
      </c>
      <c r="BC15" s="281">
        <f>Expenses!BC9</f>
        <v/>
      </c>
      <c r="BD15" s="281">
        <f>Expenses!BD9</f>
        <v/>
      </c>
      <c r="BE15" s="281">
        <f>Expenses!BE9</f>
        <v/>
      </c>
      <c r="BF15" s="281">
        <f>Expenses!BF9</f>
        <v/>
      </c>
      <c r="BG15" s="281">
        <f>Expenses!BG9</f>
        <v/>
      </c>
      <c r="BH15" s="281">
        <f>Expenses!BH9</f>
        <v/>
      </c>
      <c r="BI15" s="281">
        <f>Expenses!BI9</f>
        <v/>
      </c>
      <c r="BJ15" s="281">
        <f>Expenses!BJ9</f>
        <v/>
      </c>
      <c r="BK15" s="281">
        <f>Expenses!BK9</f>
        <v/>
      </c>
      <c r="BL15" s="281">
        <f>Expenses!BL9</f>
        <v/>
      </c>
      <c r="BM15" s="281">
        <f>Expenses!BM9</f>
        <v/>
      </c>
      <c r="BN15" s="281">
        <f>SUM(BB15:BM15)</f>
        <v/>
      </c>
    </row>
    <row r="16" ht="15" customHeight="1" s="82">
      <c r="A16" s="144" t="inlineStr">
        <is>
          <t>(-) Repairs &amp; maintenance</t>
        </is>
      </c>
      <c r="B16" s="281">
        <f>Expenses!B10</f>
        <v/>
      </c>
      <c r="C16" s="281">
        <f>Expenses!C10</f>
        <v/>
      </c>
      <c r="D16" s="281">
        <f>Expenses!D10</f>
        <v/>
      </c>
      <c r="E16" s="281">
        <f>Expenses!E10</f>
        <v/>
      </c>
      <c r="F16" s="281">
        <f>Expenses!F10</f>
        <v/>
      </c>
      <c r="G16" s="281">
        <f>Expenses!G10</f>
        <v/>
      </c>
      <c r="H16" s="281">
        <f>Expenses!H10</f>
        <v/>
      </c>
      <c r="I16" s="281">
        <f>Expenses!I10</f>
        <v/>
      </c>
      <c r="J16" s="281">
        <f>Expenses!J10</f>
        <v/>
      </c>
      <c r="K16" s="281">
        <f>Expenses!K10</f>
        <v/>
      </c>
      <c r="L16" s="281">
        <f>Expenses!L10</f>
        <v/>
      </c>
      <c r="M16" s="281">
        <f>Expenses!M10</f>
        <v/>
      </c>
      <c r="N16" s="281">
        <f>SUM(B16:M16)</f>
        <v/>
      </c>
      <c r="O16" s="281">
        <f>Expenses!O10</f>
        <v/>
      </c>
      <c r="P16" s="281">
        <f>Expenses!P10</f>
        <v/>
      </c>
      <c r="Q16" s="281">
        <f>Expenses!Q10</f>
        <v/>
      </c>
      <c r="R16" s="281">
        <f>Expenses!R10</f>
        <v/>
      </c>
      <c r="S16" s="281">
        <f>Expenses!S10</f>
        <v/>
      </c>
      <c r="T16" s="281">
        <f>Expenses!T10</f>
        <v/>
      </c>
      <c r="U16" s="281">
        <f>Expenses!U10</f>
        <v/>
      </c>
      <c r="V16" s="281">
        <f>Expenses!V10</f>
        <v/>
      </c>
      <c r="W16" s="281">
        <f>Expenses!W10</f>
        <v/>
      </c>
      <c r="X16" s="281">
        <f>Expenses!X10</f>
        <v/>
      </c>
      <c r="Y16" s="281">
        <f>Expenses!Y10</f>
        <v/>
      </c>
      <c r="Z16" s="281">
        <f>Expenses!Z10</f>
        <v/>
      </c>
      <c r="AA16" s="281">
        <f>SUM(O16:Z16)</f>
        <v/>
      </c>
      <c r="AB16" s="281">
        <f>Expenses!AB10</f>
        <v/>
      </c>
      <c r="AC16" s="281">
        <f>Expenses!AC10</f>
        <v/>
      </c>
      <c r="AD16" s="281">
        <f>Expenses!AD10</f>
        <v/>
      </c>
      <c r="AE16" s="281">
        <f>Expenses!AE10</f>
        <v/>
      </c>
      <c r="AF16" s="281">
        <f>Expenses!AF10</f>
        <v/>
      </c>
      <c r="AG16" s="281">
        <f>Expenses!AG10</f>
        <v/>
      </c>
      <c r="AH16" s="281">
        <f>Expenses!AH10</f>
        <v/>
      </c>
      <c r="AI16" s="281">
        <f>Expenses!AI10</f>
        <v/>
      </c>
      <c r="AJ16" s="281">
        <f>Expenses!AJ10</f>
        <v/>
      </c>
      <c r="AK16" s="281">
        <f>Expenses!AK10</f>
        <v/>
      </c>
      <c r="AL16" s="281">
        <f>Expenses!AL10</f>
        <v/>
      </c>
      <c r="AM16" s="281">
        <f>Expenses!AM10</f>
        <v/>
      </c>
      <c r="AN16" s="281">
        <f>SUM(AB16:AM16)</f>
        <v/>
      </c>
      <c r="AO16" s="281">
        <f>Expenses!AO10</f>
        <v/>
      </c>
      <c r="AP16" s="281">
        <f>Expenses!AP10</f>
        <v/>
      </c>
      <c r="AQ16" s="281">
        <f>Expenses!AQ10</f>
        <v/>
      </c>
      <c r="AR16" s="281">
        <f>Expenses!AR10</f>
        <v/>
      </c>
      <c r="AS16" s="281">
        <f>Expenses!AS10</f>
        <v/>
      </c>
      <c r="AT16" s="281">
        <f>Expenses!AT10</f>
        <v/>
      </c>
      <c r="AU16" s="281">
        <f>Expenses!AU10</f>
        <v/>
      </c>
      <c r="AV16" s="281">
        <f>Expenses!AV10</f>
        <v/>
      </c>
      <c r="AW16" s="281">
        <f>Expenses!AW10</f>
        <v/>
      </c>
      <c r="AX16" s="281">
        <f>Expenses!AX10</f>
        <v/>
      </c>
      <c r="AY16" s="281">
        <f>Expenses!AY10</f>
        <v/>
      </c>
      <c r="AZ16" s="281">
        <f>Expenses!AZ10</f>
        <v/>
      </c>
      <c r="BA16" s="281">
        <f>SUM(AO16:AZ16)</f>
        <v/>
      </c>
      <c r="BB16" s="281">
        <f>Expenses!BB10</f>
        <v/>
      </c>
      <c r="BC16" s="281">
        <f>Expenses!BC10</f>
        <v/>
      </c>
      <c r="BD16" s="281">
        <f>Expenses!BD10</f>
        <v/>
      </c>
      <c r="BE16" s="281">
        <f>Expenses!BE10</f>
        <v/>
      </c>
      <c r="BF16" s="281">
        <f>Expenses!BF10</f>
        <v/>
      </c>
      <c r="BG16" s="281">
        <f>Expenses!BG10</f>
        <v/>
      </c>
      <c r="BH16" s="281">
        <f>Expenses!BH10</f>
        <v/>
      </c>
      <c r="BI16" s="281">
        <f>Expenses!BI10</f>
        <v/>
      </c>
      <c r="BJ16" s="281">
        <f>Expenses!BJ10</f>
        <v/>
      </c>
      <c r="BK16" s="281">
        <f>Expenses!BK10</f>
        <v/>
      </c>
      <c r="BL16" s="281">
        <f>Expenses!BL10</f>
        <v/>
      </c>
      <c r="BM16" s="281">
        <f>Expenses!BM10</f>
        <v/>
      </c>
      <c r="BN16" s="281">
        <f>SUM(BB16:BM16)</f>
        <v/>
      </c>
    </row>
    <row r="17" ht="15" customHeight="1" s="82">
      <c r="A17" s="144" t="inlineStr">
        <is>
          <t>(-) Administrative expenses</t>
        </is>
      </c>
      <c r="B17" s="281">
        <f>Expenses!B11</f>
        <v/>
      </c>
      <c r="C17" s="281">
        <f>Expenses!C11</f>
        <v/>
      </c>
      <c r="D17" s="281">
        <f>Expenses!D11</f>
        <v/>
      </c>
      <c r="E17" s="281">
        <f>Expenses!E11</f>
        <v/>
      </c>
      <c r="F17" s="281">
        <f>Expenses!F11</f>
        <v/>
      </c>
      <c r="G17" s="281">
        <f>Expenses!G11</f>
        <v/>
      </c>
      <c r="H17" s="281">
        <f>Expenses!H11</f>
        <v/>
      </c>
      <c r="I17" s="281">
        <f>Expenses!I11</f>
        <v/>
      </c>
      <c r="J17" s="281">
        <f>Expenses!J11</f>
        <v/>
      </c>
      <c r="K17" s="281">
        <f>Expenses!K11</f>
        <v/>
      </c>
      <c r="L17" s="281">
        <f>Expenses!L11</f>
        <v/>
      </c>
      <c r="M17" s="281">
        <f>Expenses!M11</f>
        <v/>
      </c>
      <c r="N17" s="281">
        <f>SUM(B17:M17)</f>
        <v/>
      </c>
      <c r="O17" s="281">
        <f>Expenses!O11</f>
        <v/>
      </c>
      <c r="P17" s="281">
        <f>Expenses!P11</f>
        <v/>
      </c>
      <c r="Q17" s="281">
        <f>Expenses!Q11</f>
        <v/>
      </c>
      <c r="R17" s="281">
        <f>Expenses!R11</f>
        <v/>
      </c>
      <c r="S17" s="281">
        <f>Expenses!S11</f>
        <v/>
      </c>
      <c r="T17" s="281">
        <f>Expenses!T11</f>
        <v/>
      </c>
      <c r="U17" s="281">
        <f>Expenses!U11</f>
        <v/>
      </c>
      <c r="V17" s="281">
        <f>Expenses!V11</f>
        <v/>
      </c>
      <c r="W17" s="281">
        <f>Expenses!W11</f>
        <v/>
      </c>
      <c r="X17" s="281">
        <f>Expenses!X11</f>
        <v/>
      </c>
      <c r="Y17" s="281">
        <f>Expenses!Y11</f>
        <v/>
      </c>
      <c r="Z17" s="281">
        <f>Expenses!Z11</f>
        <v/>
      </c>
      <c r="AA17" s="281">
        <f>SUM(O17:Z17)</f>
        <v/>
      </c>
      <c r="AB17" s="281">
        <f>Expenses!AB11</f>
        <v/>
      </c>
      <c r="AC17" s="281">
        <f>Expenses!AC11</f>
        <v/>
      </c>
      <c r="AD17" s="281">
        <f>Expenses!AD11</f>
        <v/>
      </c>
      <c r="AE17" s="281">
        <f>Expenses!AE11</f>
        <v/>
      </c>
      <c r="AF17" s="281">
        <f>Expenses!AF11</f>
        <v/>
      </c>
      <c r="AG17" s="281">
        <f>Expenses!AG11</f>
        <v/>
      </c>
      <c r="AH17" s="281">
        <f>Expenses!AH11</f>
        <v/>
      </c>
      <c r="AI17" s="281">
        <f>Expenses!AI11</f>
        <v/>
      </c>
      <c r="AJ17" s="281">
        <f>Expenses!AJ11</f>
        <v/>
      </c>
      <c r="AK17" s="281">
        <f>Expenses!AK11</f>
        <v/>
      </c>
      <c r="AL17" s="281">
        <f>Expenses!AL11</f>
        <v/>
      </c>
      <c r="AM17" s="281">
        <f>Expenses!AM11</f>
        <v/>
      </c>
      <c r="AN17" s="281">
        <f>SUM(AB17:AM17)</f>
        <v/>
      </c>
      <c r="AO17" s="281">
        <f>Expenses!AO11</f>
        <v/>
      </c>
      <c r="AP17" s="281">
        <f>Expenses!AP11</f>
        <v/>
      </c>
      <c r="AQ17" s="281">
        <f>Expenses!AQ11</f>
        <v/>
      </c>
      <c r="AR17" s="281">
        <f>Expenses!AR11</f>
        <v/>
      </c>
      <c r="AS17" s="281">
        <f>Expenses!AS11</f>
        <v/>
      </c>
      <c r="AT17" s="281">
        <f>Expenses!AT11</f>
        <v/>
      </c>
      <c r="AU17" s="281">
        <f>Expenses!AU11</f>
        <v/>
      </c>
      <c r="AV17" s="281">
        <f>Expenses!AV11</f>
        <v/>
      </c>
      <c r="AW17" s="281">
        <f>Expenses!AW11</f>
        <v/>
      </c>
      <c r="AX17" s="281">
        <f>Expenses!AX11</f>
        <v/>
      </c>
      <c r="AY17" s="281">
        <f>Expenses!AY11</f>
        <v/>
      </c>
      <c r="AZ17" s="281">
        <f>Expenses!AZ11</f>
        <v/>
      </c>
      <c r="BA17" s="281">
        <f>SUM(AO17:AZ17)</f>
        <v/>
      </c>
      <c r="BB17" s="281">
        <f>Expenses!BB11</f>
        <v/>
      </c>
      <c r="BC17" s="281">
        <f>Expenses!BC11</f>
        <v/>
      </c>
      <c r="BD17" s="281">
        <f>Expenses!BD11</f>
        <v/>
      </c>
      <c r="BE17" s="281">
        <f>Expenses!BE11</f>
        <v/>
      </c>
      <c r="BF17" s="281">
        <f>Expenses!BF11</f>
        <v/>
      </c>
      <c r="BG17" s="281">
        <f>Expenses!BG11</f>
        <v/>
      </c>
      <c r="BH17" s="281">
        <f>Expenses!BH11</f>
        <v/>
      </c>
      <c r="BI17" s="281">
        <f>Expenses!BI11</f>
        <v/>
      </c>
      <c r="BJ17" s="281">
        <f>Expenses!BJ11</f>
        <v/>
      </c>
      <c r="BK17" s="281">
        <f>Expenses!BK11</f>
        <v/>
      </c>
      <c r="BL17" s="281">
        <f>Expenses!BL11</f>
        <v/>
      </c>
      <c r="BM17" s="281">
        <f>Expenses!BM11</f>
        <v/>
      </c>
      <c r="BN17" s="281">
        <f>SUM(BB17:BM17)</f>
        <v/>
      </c>
    </row>
    <row r="18" ht="15" customHeight="1" s="82">
      <c r="A18" s="144" t="inlineStr">
        <is>
          <t>(-) Selling &amp; distribution</t>
        </is>
      </c>
      <c r="B18" s="281">
        <f>Expenses!B12</f>
        <v/>
      </c>
      <c r="C18" s="281">
        <f>Expenses!C12</f>
        <v/>
      </c>
      <c r="D18" s="281">
        <f>Expenses!D12</f>
        <v/>
      </c>
      <c r="E18" s="281">
        <f>Expenses!E12</f>
        <v/>
      </c>
      <c r="F18" s="281">
        <f>Expenses!F12</f>
        <v/>
      </c>
      <c r="G18" s="281">
        <f>Expenses!G12</f>
        <v/>
      </c>
      <c r="H18" s="281">
        <f>Expenses!H12</f>
        <v/>
      </c>
      <c r="I18" s="281">
        <f>Expenses!I12</f>
        <v/>
      </c>
      <c r="J18" s="281">
        <f>Expenses!J12</f>
        <v/>
      </c>
      <c r="K18" s="281">
        <f>Expenses!K12</f>
        <v/>
      </c>
      <c r="L18" s="281">
        <f>Expenses!L12</f>
        <v/>
      </c>
      <c r="M18" s="281">
        <f>Expenses!M12</f>
        <v/>
      </c>
      <c r="N18" s="281">
        <f>SUM(B18:M18)</f>
        <v/>
      </c>
      <c r="O18" s="281">
        <f>Expenses!O12</f>
        <v/>
      </c>
      <c r="P18" s="281">
        <f>Expenses!P12</f>
        <v/>
      </c>
      <c r="Q18" s="281">
        <f>Expenses!Q12</f>
        <v/>
      </c>
      <c r="R18" s="281">
        <f>Expenses!R12</f>
        <v/>
      </c>
      <c r="S18" s="281">
        <f>Expenses!S12</f>
        <v/>
      </c>
      <c r="T18" s="281">
        <f>Expenses!T12</f>
        <v/>
      </c>
      <c r="U18" s="281">
        <f>Expenses!U12</f>
        <v/>
      </c>
      <c r="V18" s="281">
        <f>Expenses!V12</f>
        <v/>
      </c>
      <c r="W18" s="281">
        <f>Expenses!W12</f>
        <v/>
      </c>
      <c r="X18" s="281">
        <f>Expenses!X12</f>
        <v/>
      </c>
      <c r="Y18" s="281">
        <f>Expenses!Y12</f>
        <v/>
      </c>
      <c r="Z18" s="281">
        <f>Expenses!Z12</f>
        <v/>
      </c>
      <c r="AA18" s="281">
        <f>SUM(O18:Z18)</f>
        <v/>
      </c>
      <c r="AB18" s="281">
        <f>Expenses!AB12</f>
        <v/>
      </c>
      <c r="AC18" s="281">
        <f>Expenses!AC12</f>
        <v/>
      </c>
      <c r="AD18" s="281">
        <f>Expenses!AD12</f>
        <v/>
      </c>
      <c r="AE18" s="281">
        <f>Expenses!AE12</f>
        <v/>
      </c>
      <c r="AF18" s="281">
        <f>Expenses!AF12</f>
        <v/>
      </c>
      <c r="AG18" s="281">
        <f>Expenses!AG12</f>
        <v/>
      </c>
      <c r="AH18" s="281">
        <f>Expenses!AH12</f>
        <v/>
      </c>
      <c r="AI18" s="281">
        <f>Expenses!AI12</f>
        <v/>
      </c>
      <c r="AJ18" s="281">
        <f>Expenses!AJ12</f>
        <v/>
      </c>
      <c r="AK18" s="281">
        <f>Expenses!AK12</f>
        <v/>
      </c>
      <c r="AL18" s="281">
        <f>Expenses!AL12</f>
        <v/>
      </c>
      <c r="AM18" s="281">
        <f>Expenses!AM12</f>
        <v/>
      </c>
      <c r="AN18" s="281">
        <f>SUM(AB18:AM18)</f>
        <v/>
      </c>
      <c r="AO18" s="281">
        <f>Expenses!AO12</f>
        <v/>
      </c>
      <c r="AP18" s="281">
        <f>Expenses!AP12</f>
        <v/>
      </c>
      <c r="AQ18" s="281">
        <f>Expenses!AQ12</f>
        <v/>
      </c>
      <c r="AR18" s="281">
        <f>Expenses!AR12</f>
        <v/>
      </c>
      <c r="AS18" s="281">
        <f>Expenses!AS12</f>
        <v/>
      </c>
      <c r="AT18" s="281">
        <f>Expenses!AT12</f>
        <v/>
      </c>
      <c r="AU18" s="281">
        <f>Expenses!AU12</f>
        <v/>
      </c>
      <c r="AV18" s="281">
        <f>Expenses!AV12</f>
        <v/>
      </c>
      <c r="AW18" s="281">
        <f>Expenses!AW12</f>
        <v/>
      </c>
      <c r="AX18" s="281">
        <f>Expenses!AX12</f>
        <v/>
      </c>
      <c r="AY18" s="281">
        <f>Expenses!AY12</f>
        <v/>
      </c>
      <c r="AZ18" s="281">
        <f>Expenses!AZ12</f>
        <v/>
      </c>
      <c r="BA18" s="281">
        <f>SUM(AO18:AZ18)</f>
        <v/>
      </c>
      <c r="BB18" s="281">
        <f>Expenses!BB12</f>
        <v/>
      </c>
      <c r="BC18" s="281">
        <f>Expenses!BC12</f>
        <v/>
      </c>
      <c r="BD18" s="281">
        <f>Expenses!BD12</f>
        <v/>
      </c>
      <c r="BE18" s="281">
        <f>Expenses!BE12</f>
        <v/>
      </c>
      <c r="BF18" s="281">
        <f>Expenses!BF12</f>
        <v/>
      </c>
      <c r="BG18" s="281">
        <f>Expenses!BG12</f>
        <v/>
      </c>
      <c r="BH18" s="281">
        <f>Expenses!BH12</f>
        <v/>
      </c>
      <c r="BI18" s="281">
        <f>Expenses!BI12</f>
        <v/>
      </c>
      <c r="BJ18" s="281">
        <f>Expenses!BJ12</f>
        <v/>
      </c>
      <c r="BK18" s="281">
        <f>Expenses!BK12</f>
        <v/>
      </c>
      <c r="BL18" s="281">
        <f>Expenses!BL12</f>
        <v/>
      </c>
      <c r="BM18" s="281">
        <f>Expenses!BM12</f>
        <v/>
      </c>
      <c r="BN18" s="281">
        <f>SUM(BB18:BM18)</f>
        <v/>
      </c>
    </row>
    <row r="19" ht="15" customHeight="1" s="82">
      <c r="A19" s="279" t="inlineStr">
        <is>
          <t>EBITDA</t>
        </is>
      </c>
      <c r="B19" s="280">
        <f>B10-SUM(B11:B18)</f>
        <v/>
      </c>
      <c r="C19" s="280">
        <f>C10-SUM(C11:C18)</f>
        <v/>
      </c>
      <c r="D19" s="280">
        <f>D10-SUM(D11:D18)</f>
        <v/>
      </c>
      <c r="E19" s="280">
        <f>E10-SUM(E11:E18)</f>
        <v/>
      </c>
      <c r="F19" s="280">
        <f>F10-SUM(F11:F18)</f>
        <v/>
      </c>
      <c r="G19" s="280">
        <f>G10-SUM(G11:G18)</f>
        <v/>
      </c>
      <c r="H19" s="280">
        <f>H10-SUM(H11:H18)</f>
        <v/>
      </c>
      <c r="I19" s="280">
        <f>I10-SUM(I11:I18)</f>
        <v/>
      </c>
      <c r="J19" s="280">
        <f>J10-SUM(J11:J18)</f>
        <v/>
      </c>
      <c r="K19" s="280">
        <f>K10-SUM(K11:K18)</f>
        <v/>
      </c>
      <c r="L19" s="280">
        <f>L10-SUM(L11:L18)</f>
        <v/>
      </c>
      <c r="M19" s="280">
        <f>M10-SUM(M11:M18)</f>
        <v/>
      </c>
      <c r="N19" s="280">
        <f>SUM(B19:M19)</f>
        <v/>
      </c>
      <c r="O19" s="280">
        <f>O10-SUM(O11:O18)</f>
        <v/>
      </c>
      <c r="P19" s="280">
        <f>P10-SUM(P11:P18)</f>
        <v/>
      </c>
      <c r="Q19" s="280">
        <f>Q10-SUM(Q11:Q18)</f>
        <v/>
      </c>
      <c r="R19" s="280">
        <f>R10-SUM(R11:R18)</f>
        <v/>
      </c>
      <c r="S19" s="280">
        <f>S10-SUM(S11:S18)</f>
        <v/>
      </c>
      <c r="T19" s="280">
        <f>T10-SUM(T11:T18)</f>
        <v/>
      </c>
      <c r="U19" s="280">
        <f>U10-SUM(U11:U18)</f>
        <v/>
      </c>
      <c r="V19" s="280">
        <f>V10-SUM(V11:V18)</f>
        <v/>
      </c>
      <c r="W19" s="280">
        <f>W10-SUM(W11:W18)</f>
        <v/>
      </c>
      <c r="X19" s="280">
        <f>X10-SUM(X11:X18)</f>
        <v/>
      </c>
      <c r="Y19" s="280">
        <f>Y10-SUM(Y11:Y18)</f>
        <v/>
      </c>
      <c r="Z19" s="280">
        <f>Z10-SUM(Z11:Z18)</f>
        <v/>
      </c>
      <c r="AA19" s="280">
        <f>SUM(O19:Z19)</f>
        <v/>
      </c>
      <c r="AB19" s="280">
        <f>AB10-SUM(AB11:AB18)</f>
        <v/>
      </c>
      <c r="AC19" s="280">
        <f>AC10-SUM(AC11:AC18)</f>
        <v/>
      </c>
      <c r="AD19" s="280">
        <f>AD10-SUM(AD11:AD18)</f>
        <v/>
      </c>
      <c r="AE19" s="280">
        <f>AE10-SUM(AE11:AE18)</f>
        <v/>
      </c>
      <c r="AF19" s="280">
        <f>AF10-SUM(AF11:AF18)</f>
        <v/>
      </c>
      <c r="AG19" s="280">
        <f>AG10-SUM(AG11:AG18)</f>
        <v/>
      </c>
      <c r="AH19" s="280">
        <f>AH10-SUM(AH11:AH18)</f>
        <v/>
      </c>
      <c r="AI19" s="280">
        <f>AI10-SUM(AI11:AI18)</f>
        <v/>
      </c>
      <c r="AJ19" s="280">
        <f>AJ10-SUM(AJ11:AJ18)</f>
        <v/>
      </c>
      <c r="AK19" s="280">
        <f>AK10-SUM(AK11:AK18)</f>
        <v/>
      </c>
      <c r="AL19" s="280">
        <f>AL10-SUM(AL11:AL18)</f>
        <v/>
      </c>
      <c r="AM19" s="280">
        <f>AM10-SUM(AM11:AM18)</f>
        <v/>
      </c>
      <c r="AN19" s="280">
        <f>SUM(AB19:AM19)</f>
        <v/>
      </c>
      <c r="AO19" s="280">
        <f>AO10-SUM(AO11:AO18)</f>
        <v/>
      </c>
      <c r="AP19" s="280">
        <f>AP10-SUM(AP11:AP18)</f>
        <v/>
      </c>
      <c r="AQ19" s="280">
        <f>AQ10-SUM(AQ11:AQ18)</f>
        <v/>
      </c>
      <c r="AR19" s="280">
        <f>AR10-SUM(AR11:AR18)</f>
        <v/>
      </c>
      <c r="AS19" s="280">
        <f>AS10-SUM(AS11:AS18)</f>
        <v/>
      </c>
      <c r="AT19" s="280">
        <f>AT10-SUM(AT11:AT18)</f>
        <v/>
      </c>
      <c r="AU19" s="280">
        <f>AU10-SUM(AU11:AU18)</f>
        <v/>
      </c>
      <c r="AV19" s="280">
        <f>AV10-SUM(AV11:AV18)</f>
        <v/>
      </c>
      <c r="AW19" s="280">
        <f>AW10-SUM(AW11:AW18)</f>
        <v/>
      </c>
      <c r="AX19" s="280">
        <f>AX10-SUM(AX11:AX18)</f>
        <v/>
      </c>
      <c r="AY19" s="280">
        <f>AY10-SUM(AY11:AY18)</f>
        <v/>
      </c>
      <c r="AZ19" s="280">
        <f>AZ10-SUM(AZ11:AZ18)</f>
        <v/>
      </c>
      <c r="BA19" s="280">
        <f>SUM(AO19:AZ19)</f>
        <v/>
      </c>
      <c r="BB19" s="280">
        <f>BB10-SUM(BB11:BB18)</f>
        <v/>
      </c>
      <c r="BC19" s="280">
        <f>BC10-SUM(BC11:BC18)</f>
        <v/>
      </c>
      <c r="BD19" s="280">
        <f>BD10-SUM(BD11:BD18)</f>
        <v/>
      </c>
      <c r="BE19" s="280">
        <f>BE10-SUM(BE11:BE18)</f>
        <v/>
      </c>
      <c r="BF19" s="280">
        <f>BF10-SUM(BF11:BF18)</f>
        <v/>
      </c>
      <c r="BG19" s="280">
        <f>BG10-SUM(BG11:BG18)</f>
        <v/>
      </c>
      <c r="BH19" s="280">
        <f>BH10-SUM(BH11:BH18)</f>
        <v/>
      </c>
      <c r="BI19" s="280">
        <f>BI10-SUM(BI11:BI18)</f>
        <v/>
      </c>
      <c r="BJ19" s="280">
        <f>BJ10-SUM(BJ11:BJ18)</f>
        <v/>
      </c>
      <c r="BK19" s="280">
        <f>BK10-SUM(BK11:BK18)</f>
        <v/>
      </c>
      <c r="BL19" s="280">
        <f>BL10-SUM(BL11:BL18)</f>
        <v/>
      </c>
      <c r="BM19" s="280">
        <f>BM10-SUM(BM11:BM18)</f>
        <v/>
      </c>
      <c r="BN19" s="280">
        <f>SUM(BB19:BM19)</f>
        <v/>
      </c>
    </row>
    <row r="20" ht="15" customHeight="1" s="82">
      <c r="A20" s="144" t="inlineStr">
        <is>
          <t>(-) Depreciation</t>
        </is>
      </c>
      <c r="B20" s="281">
        <f>Expenses!B13</f>
        <v/>
      </c>
      <c r="C20" s="281">
        <f>Expenses!C13</f>
        <v/>
      </c>
      <c r="D20" s="281">
        <f>Expenses!D13</f>
        <v/>
      </c>
      <c r="E20" s="281">
        <f>Expenses!E13</f>
        <v/>
      </c>
      <c r="F20" s="281">
        <f>Expenses!F13</f>
        <v/>
      </c>
      <c r="G20" s="281">
        <f>Expenses!G13</f>
        <v/>
      </c>
      <c r="H20" s="281">
        <f>Expenses!H13</f>
        <v/>
      </c>
      <c r="I20" s="281">
        <f>Expenses!I13</f>
        <v/>
      </c>
      <c r="J20" s="281">
        <f>Expenses!J13</f>
        <v/>
      </c>
      <c r="K20" s="281">
        <f>Expenses!K13</f>
        <v/>
      </c>
      <c r="L20" s="281">
        <f>Expenses!L13</f>
        <v/>
      </c>
      <c r="M20" s="281">
        <f>Expenses!M13</f>
        <v/>
      </c>
      <c r="N20" s="281">
        <f>SUM(B20:M20)</f>
        <v/>
      </c>
      <c r="O20" s="281">
        <f>Expenses!O13</f>
        <v/>
      </c>
      <c r="P20" s="281">
        <f>Expenses!P13</f>
        <v/>
      </c>
      <c r="Q20" s="281">
        <f>Expenses!Q13</f>
        <v/>
      </c>
      <c r="R20" s="281">
        <f>Expenses!R13</f>
        <v/>
      </c>
      <c r="S20" s="281">
        <f>Expenses!S13</f>
        <v/>
      </c>
      <c r="T20" s="281">
        <f>Expenses!T13</f>
        <v/>
      </c>
      <c r="U20" s="281">
        <f>Expenses!U13</f>
        <v/>
      </c>
      <c r="V20" s="281">
        <f>Expenses!V13</f>
        <v/>
      </c>
      <c r="W20" s="281">
        <f>Expenses!W13</f>
        <v/>
      </c>
      <c r="X20" s="281">
        <f>Expenses!X13</f>
        <v/>
      </c>
      <c r="Y20" s="281">
        <f>Expenses!Y13</f>
        <v/>
      </c>
      <c r="Z20" s="281">
        <f>Expenses!Z13</f>
        <v/>
      </c>
      <c r="AA20" s="281">
        <f>SUM(O20:Z20)</f>
        <v/>
      </c>
      <c r="AB20" s="281">
        <f>Expenses!AB13</f>
        <v/>
      </c>
      <c r="AC20" s="281">
        <f>Expenses!AC13</f>
        <v/>
      </c>
      <c r="AD20" s="281">
        <f>Expenses!AD13</f>
        <v/>
      </c>
      <c r="AE20" s="281">
        <f>Expenses!AE13</f>
        <v/>
      </c>
      <c r="AF20" s="281">
        <f>Expenses!AF13</f>
        <v/>
      </c>
      <c r="AG20" s="281">
        <f>Expenses!AG13</f>
        <v/>
      </c>
      <c r="AH20" s="281">
        <f>Expenses!AH13</f>
        <v/>
      </c>
      <c r="AI20" s="281">
        <f>Expenses!AI13</f>
        <v/>
      </c>
      <c r="AJ20" s="281">
        <f>Expenses!AJ13</f>
        <v/>
      </c>
      <c r="AK20" s="281">
        <f>Expenses!AK13</f>
        <v/>
      </c>
      <c r="AL20" s="281">
        <f>Expenses!AL13</f>
        <v/>
      </c>
      <c r="AM20" s="281">
        <f>Expenses!AM13</f>
        <v/>
      </c>
      <c r="AN20" s="281">
        <f>SUM(AB20:AM20)</f>
        <v/>
      </c>
      <c r="AO20" s="281">
        <f>Expenses!AO13</f>
        <v/>
      </c>
      <c r="AP20" s="281">
        <f>Expenses!AP13</f>
        <v/>
      </c>
      <c r="AQ20" s="281">
        <f>Expenses!AQ13</f>
        <v/>
      </c>
      <c r="AR20" s="281">
        <f>Expenses!AR13</f>
        <v/>
      </c>
      <c r="AS20" s="281">
        <f>Expenses!AS13</f>
        <v/>
      </c>
      <c r="AT20" s="281">
        <f>Expenses!AT13</f>
        <v/>
      </c>
      <c r="AU20" s="281">
        <f>Expenses!AU13</f>
        <v/>
      </c>
      <c r="AV20" s="281">
        <f>Expenses!AV13</f>
        <v/>
      </c>
      <c r="AW20" s="281">
        <f>Expenses!AW13</f>
        <v/>
      </c>
      <c r="AX20" s="281">
        <f>Expenses!AX13</f>
        <v/>
      </c>
      <c r="AY20" s="281">
        <f>Expenses!AY13</f>
        <v/>
      </c>
      <c r="AZ20" s="281">
        <f>Expenses!AZ13</f>
        <v/>
      </c>
      <c r="BA20" s="281">
        <f>SUM(AO20:AZ20)</f>
        <v/>
      </c>
      <c r="BB20" s="281">
        <f>Expenses!BB13</f>
        <v/>
      </c>
      <c r="BC20" s="281">
        <f>Expenses!BC13</f>
        <v/>
      </c>
      <c r="BD20" s="281">
        <f>Expenses!BD13</f>
        <v/>
      </c>
      <c r="BE20" s="281">
        <f>Expenses!BE13</f>
        <v/>
      </c>
      <c r="BF20" s="281">
        <f>Expenses!BF13</f>
        <v/>
      </c>
      <c r="BG20" s="281">
        <f>Expenses!BG13</f>
        <v/>
      </c>
      <c r="BH20" s="281">
        <f>Expenses!BH13</f>
        <v/>
      </c>
      <c r="BI20" s="281">
        <f>Expenses!BI13</f>
        <v/>
      </c>
      <c r="BJ20" s="281">
        <f>Expenses!BJ13</f>
        <v/>
      </c>
      <c r="BK20" s="281">
        <f>Expenses!BK13</f>
        <v/>
      </c>
      <c r="BL20" s="281">
        <f>Expenses!BL13</f>
        <v/>
      </c>
      <c r="BM20" s="281">
        <f>Expenses!BM13</f>
        <v/>
      </c>
      <c r="BN20" s="281">
        <f>SUM(BB20:BM20)</f>
        <v/>
      </c>
    </row>
    <row r="21" ht="15" customHeight="1" s="82">
      <c r="A21" s="279" t="inlineStr">
        <is>
          <t>EBIT (Operating Profit)</t>
        </is>
      </c>
      <c r="B21" s="280">
        <f>B19-B20</f>
        <v/>
      </c>
      <c r="C21" s="280">
        <f>C19-C20</f>
        <v/>
      </c>
      <c r="D21" s="280">
        <f>D19-D20</f>
        <v/>
      </c>
      <c r="E21" s="280">
        <f>E19-E20</f>
        <v/>
      </c>
      <c r="F21" s="280">
        <f>F19-F20</f>
        <v/>
      </c>
      <c r="G21" s="280">
        <f>G19-G20</f>
        <v/>
      </c>
      <c r="H21" s="280">
        <f>H19-H20</f>
        <v/>
      </c>
      <c r="I21" s="280">
        <f>I19-I20</f>
        <v/>
      </c>
      <c r="J21" s="280">
        <f>J19-J20</f>
        <v/>
      </c>
      <c r="K21" s="280">
        <f>K19-K20</f>
        <v/>
      </c>
      <c r="L21" s="280">
        <f>L19-L20</f>
        <v/>
      </c>
      <c r="M21" s="280">
        <f>M19-M20</f>
        <v/>
      </c>
      <c r="N21" s="280">
        <f>SUM(B21:M21)</f>
        <v/>
      </c>
      <c r="O21" s="280">
        <f>O19-O20</f>
        <v/>
      </c>
      <c r="P21" s="280">
        <f>P19-P20</f>
        <v/>
      </c>
      <c r="Q21" s="280">
        <f>Q19-Q20</f>
        <v/>
      </c>
      <c r="R21" s="280">
        <f>R19-R20</f>
        <v/>
      </c>
      <c r="S21" s="280">
        <f>S19-S20</f>
        <v/>
      </c>
      <c r="T21" s="280">
        <f>T19-T20</f>
        <v/>
      </c>
      <c r="U21" s="280">
        <f>U19-U20</f>
        <v/>
      </c>
      <c r="V21" s="280">
        <f>V19-V20</f>
        <v/>
      </c>
      <c r="W21" s="280">
        <f>W19-W20</f>
        <v/>
      </c>
      <c r="X21" s="280">
        <f>X19-X20</f>
        <v/>
      </c>
      <c r="Y21" s="280">
        <f>Y19-Y20</f>
        <v/>
      </c>
      <c r="Z21" s="280">
        <f>Z19-Z20</f>
        <v/>
      </c>
      <c r="AA21" s="280">
        <f>SUM(O21:Z21)</f>
        <v/>
      </c>
      <c r="AB21" s="280">
        <f>AB19-AB20</f>
        <v/>
      </c>
      <c r="AC21" s="280">
        <f>AC19-AC20</f>
        <v/>
      </c>
      <c r="AD21" s="280">
        <f>AD19-AD20</f>
        <v/>
      </c>
      <c r="AE21" s="280">
        <f>AE19-AE20</f>
        <v/>
      </c>
      <c r="AF21" s="280">
        <f>AF19-AF20</f>
        <v/>
      </c>
      <c r="AG21" s="280">
        <f>AG19-AG20</f>
        <v/>
      </c>
      <c r="AH21" s="280">
        <f>AH19-AH20</f>
        <v/>
      </c>
      <c r="AI21" s="280">
        <f>AI19-AI20</f>
        <v/>
      </c>
      <c r="AJ21" s="280">
        <f>AJ19-AJ20</f>
        <v/>
      </c>
      <c r="AK21" s="280">
        <f>AK19-AK20</f>
        <v/>
      </c>
      <c r="AL21" s="280">
        <f>AL19-AL20</f>
        <v/>
      </c>
      <c r="AM21" s="280">
        <f>AM19-AM20</f>
        <v/>
      </c>
      <c r="AN21" s="280">
        <f>SUM(AB21:AM21)</f>
        <v/>
      </c>
      <c r="AO21" s="280">
        <f>AO19-AO20</f>
        <v/>
      </c>
      <c r="AP21" s="280">
        <f>AP19-AP20</f>
        <v/>
      </c>
      <c r="AQ21" s="280">
        <f>AQ19-AQ20</f>
        <v/>
      </c>
      <c r="AR21" s="280">
        <f>AR19-AR20</f>
        <v/>
      </c>
      <c r="AS21" s="280">
        <f>AS19-AS20</f>
        <v/>
      </c>
      <c r="AT21" s="280">
        <f>AT19-AT20</f>
        <v/>
      </c>
      <c r="AU21" s="280">
        <f>AU19-AU20</f>
        <v/>
      </c>
      <c r="AV21" s="280">
        <f>AV19-AV20</f>
        <v/>
      </c>
      <c r="AW21" s="280">
        <f>AW19-AW20</f>
        <v/>
      </c>
      <c r="AX21" s="280">
        <f>AX19-AX20</f>
        <v/>
      </c>
      <c r="AY21" s="280">
        <f>AY19-AY20</f>
        <v/>
      </c>
      <c r="AZ21" s="280">
        <f>AZ19-AZ20</f>
        <v/>
      </c>
      <c r="BA21" s="280">
        <f>SUM(AO21:AZ21)</f>
        <v/>
      </c>
      <c r="BB21" s="280">
        <f>BB19-BB20</f>
        <v/>
      </c>
      <c r="BC21" s="280">
        <f>BC19-BC20</f>
        <v/>
      </c>
      <c r="BD21" s="280">
        <f>BD19-BD20</f>
        <v/>
      </c>
      <c r="BE21" s="280">
        <f>BE19-BE20</f>
        <v/>
      </c>
      <c r="BF21" s="280">
        <f>BF19-BF20</f>
        <v/>
      </c>
      <c r="BG21" s="280">
        <f>BG19-BG20</f>
        <v/>
      </c>
      <c r="BH21" s="280">
        <f>BH19-BH20</f>
        <v/>
      </c>
      <c r="BI21" s="280">
        <f>BI19-BI20</f>
        <v/>
      </c>
      <c r="BJ21" s="280">
        <f>BJ19-BJ20</f>
        <v/>
      </c>
      <c r="BK21" s="280">
        <f>BK19-BK20</f>
        <v/>
      </c>
      <c r="BL21" s="280">
        <f>BL19-BL20</f>
        <v/>
      </c>
      <c r="BM21" s="280">
        <f>BM19-BM20</f>
        <v/>
      </c>
      <c r="BN21" s="280">
        <f>SUM(BB21:BM21)</f>
        <v/>
      </c>
    </row>
    <row r="22" ht="15" customHeight="1" s="82">
      <c r="A22" s="144" t="inlineStr">
        <is>
          <t>(-) Interest — Term Loan</t>
        </is>
      </c>
      <c r="B22" s="281">
        <f>Expenses!B14</f>
        <v/>
      </c>
      <c r="C22" s="281">
        <f>Expenses!C14</f>
        <v/>
      </c>
      <c r="D22" s="281">
        <f>Expenses!D14</f>
        <v/>
      </c>
      <c r="E22" s="281">
        <f>Expenses!E14</f>
        <v/>
      </c>
      <c r="F22" s="281">
        <f>Expenses!F14</f>
        <v/>
      </c>
      <c r="G22" s="281">
        <f>Expenses!G14</f>
        <v/>
      </c>
      <c r="H22" s="281">
        <f>Expenses!H14</f>
        <v/>
      </c>
      <c r="I22" s="281">
        <f>Expenses!I14</f>
        <v/>
      </c>
      <c r="J22" s="281">
        <f>Expenses!J14</f>
        <v/>
      </c>
      <c r="K22" s="281">
        <f>Expenses!K14</f>
        <v/>
      </c>
      <c r="L22" s="281">
        <f>Expenses!L14</f>
        <v/>
      </c>
      <c r="M22" s="281">
        <f>Expenses!M14</f>
        <v/>
      </c>
      <c r="N22" s="281">
        <f>SUM(B22:M22)</f>
        <v/>
      </c>
      <c r="O22" s="281">
        <f>Expenses!O14</f>
        <v/>
      </c>
      <c r="P22" s="281">
        <f>Expenses!P14</f>
        <v/>
      </c>
      <c r="Q22" s="281">
        <f>Expenses!Q14</f>
        <v/>
      </c>
      <c r="R22" s="281">
        <f>Expenses!R14</f>
        <v/>
      </c>
      <c r="S22" s="281">
        <f>Expenses!S14</f>
        <v/>
      </c>
      <c r="T22" s="281">
        <f>Expenses!T14</f>
        <v/>
      </c>
      <c r="U22" s="281">
        <f>Expenses!U14</f>
        <v/>
      </c>
      <c r="V22" s="281">
        <f>Expenses!V14</f>
        <v/>
      </c>
      <c r="W22" s="281">
        <f>Expenses!W14</f>
        <v/>
      </c>
      <c r="X22" s="281">
        <f>Expenses!X14</f>
        <v/>
      </c>
      <c r="Y22" s="281">
        <f>Expenses!Y14</f>
        <v/>
      </c>
      <c r="Z22" s="281">
        <f>Expenses!Z14</f>
        <v/>
      </c>
      <c r="AA22" s="281">
        <f>SUM(O22:Z22)</f>
        <v/>
      </c>
      <c r="AB22" s="281">
        <f>Expenses!AB14</f>
        <v/>
      </c>
      <c r="AC22" s="281">
        <f>Expenses!AC14</f>
        <v/>
      </c>
      <c r="AD22" s="281">
        <f>Expenses!AD14</f>
        <v/>
      </c>
      <c r="AE22" s="281">
        <f>Expenses!AE14</f>
        <v/>
      </c>
      <c r="AF22" s="281">
        <f>Expenses!AF14</f>
        <v/>
      </c>
      <c r="AG22" s="281">
        <f>Expenses!AG14</f>
        <v/>
      </c>
      <c r="AH22" s="281">
        <f>Expenses!AH14</f>
        <v/>
      </c>
      <c r="AI22" s="281">
        <f>Expenses!AI14</f>
        <v/>
      </c>
      <c r="AJ22" s="281">
        <f>Expenses!AJ14</f>
        <v/>
      </c>
      <c r="AK22" s="281">
        <f>Expenses!AK14</f>
        <v/>
      </c>
      <c r="AL22" s="281">
        <f>Expenses!AL14</f>
        <v/>
      </c>
      <c r="AM22" s="281">
        <f>Expenses!AM14</f>
        <v/>
      </c>
      <c r="AN22" s="281">
        <f>SUM(AB22:AM22)</f>
        <v/>
      </c>
      <c r="AO22" s="281">
        <f>Expenses!AO14</f>
        <v/>
      </c>
      <c r="AP22" s="281">
        <f>Expenses!AP14</f>
        <v/>
      </c>
      <c r="AQ22" s="281">
        <f>Expenses!AQ14</f>
        <v/>
      </c>
      <c r="AR22" s="281">
        <f>Expenses!AR14</f>
        <v/>
      </c>
      <c r="AS22" s="281">
        <f>Expenses!AS14</f>
        <v/>
      </c>
      <c r="AT22" s="281">
        <f>Expenses!AT14</f>
        <v/>
      </c>
      <c r="AU22" s="281">
        <f>Expenses!AU14</f>
        <v/>
      </c>
      <c r="AV22" s="281">
        <f>Expenses!AV14</f>
        <v/>
      </c>
      <c r="AW22" s="281">
        <f>Expenses!AW14</f>
        <v/>
      </c>
      <c r="AX22" s="281">
        <f>Expenses!AX14</f>
        <v/>
      </c>
      <c r="AY22" s="281">
        <f>Expenses!AY14</f>
        <v/>
      </c>
      <c r="AZ22" s="281">
        <f>Expenses!AZ14</f>
        <v/>
      </c>
      <c r="BA22" s="281">
        <f>SUM(AO22:AZ22)</f>
        <v/>
      </c>
      <c r="BB22" s="281">
        <f>Expenses!BB14</f>
        <v/>
      </c>
      <c r="BC22" s="281">
        <f>Expenses!BC14</f>
        <v/>
      </c>
      <c r="BD22" s="281">
        <f>Expenses!BD14</f>
        <v/>
      </c>
      <c r="BE22" s="281">
        <f>Expenses!BE14</f>
        <v/>
      </c>
      <c r="BF22" s="281">
        <f>Expenses!BF14</f>
        <v/>
      </c>
      <c r="BG22" s="281">
        <f>Expenses!BG14</f>
        <v/>
      </c>
      <c r="BH22" s="281">
        <f>Expenses!BH14</f>
        <v/>
      </c>
      <c r="BI22" s="281">
        <f>Expenses!BI14</f>
        <v/>
      </c>
      <c r="BJ22" s="281">
        <f>Expenses!BJ14</f>
        <v/>
      </c>
      <c r="BK22" s="281">
        <f>Expenses!BK14</f>
        <v/>
      </c>
      <c r="BL22" s="281">
        <f>Expenses!BL14</f>
        <v/>
      </c>
      <c r="BM22" s="281">
        <f>Expenses!BM14</f>
        <v/>
      </c>
      <c r="BN22" s="281">
        <f>SUM(BB22:BM22)</f>
        <v/>
      </c>
    </row>
    <row r="23">
      <c r="A23" s="144" t="inlineStr">
        <is>
          <t>(-) Interest — Working Capital</t>
        </is>
      </c>
      <c r="B23" s="281">
        <f>Expenses!B15</f>
        <v/>
      </c>
      <c r="C23" s="281">
        <f>Expenses!C15</f>
        <v/>
      </c>
      <c r="D23" s="281">
        <f>Expenses!D15</f>
        <v/>
      </c>
      <c r="E23" s="281">
        <f>Expenses!E15</f>
        <v/>
      </c>
      <c r="F23" s="281">
        <f>Expenses!F15</f>
        <v/>
      </c>
      <c r="G23" s="281">
        <f>Expenses!G15</f>
        <v/>
      </c>
      <c r="H23" s="281">
        <f>Expenses!H15</f>
        <v/>
      </c>
      <c r="I23" s="281">
        <f>Expenses!I15</f>
        <v/>
      </c>
      <c r="J23" s="281">
        <f>Expenses!J15</f>
        <v/>
      </c>
      <c r="K23" s="281">
        <f>Expenses!K15</f>
        <v/>
      </c>
      <c r="L23" s="281">
        <f>Expenses!L15</f>
        <v/>
      </c>
      <c r="M23" s="281">
        <f>Expenses!M15</f>
        <v/>
      </c>
      <c r="N23" s="281">
        <f>SUM(B23:M23)</f>
        <v/>
      </c>
      <c r="O23" s="281">
        <f>Expenses!O15</f>
        <v/>
      </c>
      <c r="P23" s="281">
        <f>Expenses!P15</f>
        <v/>
      </c>
      <c r="Q23" s="281">
        <f>Expenses!Q15</f>
        <v/>
      </c>
      <c r="R23" s="281">
        <f>Expenses!R15</f>
        <v/>
      </c>
      <c r="S23" s="281">
        <f>Expenses!S15</f>
        <v/>
      </c>
      <c r="T23" s="281">
        <f>Expenses!T15</f>
        <v/>
      </c>
      <c r="U23" s="281">
        <f>Expenses!U15</f>
        <v/>
      </c>
      <c r="V23" s="281">
        <f>Expenses!V15</f>
        <v/>
      </c>
      <c r="W23" s="281">
        <f>Expenses!W15</f>
        <v/>
      </c>
      <c r="X23" s="281">
        <f>Expenses!X15</f>
        <v/>
      </c>
      <c r="Y23" s="281">
        <f>Expenses!Y15</f>
        <v/>
      </c>
      <c r="Z23" s="281">
        <f>Expenses!Z15</f>
        <v/>
      </c>
      <c r="AA23" s="281">
        <f>SUM(O23:Z23)</f>
        <v/>
      </c>
      <c r="AB23" s="281">
        <f>Expenses!AB15</f>
        <v/>
      </c>
      <c r="AC23" s="281">
        <f>Expenses!AC15</f>
        <v/>
      </c>
      <c r="AD23" s="281">
        <f>Expenses!AD15</f>
        <v/>
      </c>
      <c r="AE23" s="281">
        <f>Expenses!AE15</f>
        <v/>
      </c>
      <c r="AF23" s="281">
        <f>Expenses!AF15</f>
        <v/>
      </c>
      <c r="AG23" s="281">
        <f>Expenses!AG15</f>
        <v/>
      </c>
      <c r="AH23" s="281">
        <f>Expenses!AH15</f>
        <v/>
      </c>
      <c r="AI23" s="281">
        <f>Expenses!AI15</f>
        <v/>
      </c>
      <c r="AJ23" s="281">
        <f>Expenses!AJ15</f>
        <v/>
      </c>
      <c r="AK23" s="281">
        <f>Expenses!AK15</f>
        <v/>
      </c>
      <c r="AL23" s="281">
        <f>Expenses!AL15</f>
        <v/>
      </c>
      <c r="AM23" s="281">
        <f>Expenses!AM15</f>
        <v/>
      </c>
      <c r="AN23" s="281">
        <f>SUM(AB23:AM23)</f>
        <v/>
      </c>
      <c r="AO23" s="281">
        <f>Expenses!AO15</f>
        <v/>
      </c>
      <c r="AP23" s="281">
        <f>Expenses!AP15</f>
        <v/>
      </c>
      <c r="AQ23" s="281">
        <f>Expenses!AQ15</f>
        <v/>
      </c>
      <c r="AR23" s="281">
        <f>Expenses!AR15</f>
        <v/>
      </c>
      <c r="AS23" s="281">
        <f>Expenses!AS15</f>
        <v/>
      </c>
      <c r="AT23" s="281">
        <f>Expenses!AT15</f>
        <v/>
      </c>
      <c r="AU23" s="281">
        <f>Expenses!AU15</f>
        <v/>
      </c>
      <c r="AV23" s="281">
        <f>Expenses!AV15</f>
        <v/>
      </c>
      <c r="AW23" s="281">
        <f>Expenses!AW15</f>
        <v/>
      </c>
      <c r="AX23" s="281">
        <f>Expenses!AX15</f>
        <v/>
      </c>
      <c r="AY23" s="281">
        <f>Expenses!AY15</f>
        <v/>
      </c>
      <c r="AZ23" s="281">
        <f>Expenses!AZ15</f>
        <v/>
      </c>
      <c r="BA23" s="281">
        <f>SUM(AO23:AZ23)</f>
        <v/>
      </c>
      <c r="BB23" s="281">
        <f>Expenses!BB15</f>
        <v/>
      </c>
      <c r="BC23" s="281">
        <f>Expenses!BC15</f>
        <v/>
      </c>
      <c r="BD23" s="281">
        <f>Expenses!BD15</f>
        <v/>
      </c>
      <c r="BE23" s="281">
        <f>Expenses!BE15</f>
        <v/>
      </c>
      <c r="BF23" s="281">
        <f>Expenses!BF15</f>
        <v/>
      </c>
      <c r="BG23" s="281">
        <f>Expenses!BG15</f>
        <v/>
      </c>
      <c r="BH23" s="281">
        <f>Expenses!BH15</f>
        <v/>
      </c>
      <c r="BI23" s="281">
        <f>Expenses!BI15</f>
        <v/>
      </c>
      <c r="BJ23" s="281">
        <f>Expenses!BJ15</f>
        <v/>
      </c>
      <c r="BK23" s="281">
        <f>Expenses!BK15</f>
        <v/>
      </c>
      <c r="BL23" s="281">
        <f>Expenses!BL15</f>
        <v/>
      </c>
      <c r="BM23" s="281">
        <f>Expenses!BM15</f>
        <v/>
      </c>
      <c r="BN23" s="281">
        <f>SUM(BB23:BM23)</f>
        <v/>
      </c>
    </row>
    <row r="24">
      <c r="A24" s="279" t="inlineStr">
        <is>
          <t>Profit Before Tax (PBT)</t>
        </is>
      </c>
      <c r="B24" s="280">
        <f>B21-B22-B23</f>
        <v/>
      </c>
      <c r="C24" s="280">
        <f>C21-C22-C23</f>
        <v/>
      </c>
      <c r="D24" s="280">
        <f>D21-D22-D23</f>
        <v/>
      </c>
      <c r="E24" s="280">
        <f>E21-E22-E23</f>
        <v/>
      </c>
      <c r="F24" s="280">
        <f>F21-F22-F23</f>
        <v/>
      </c>
      <c r="G24" s="280">
        <f>G21-G22-G23</f>
        <v/>
      </c>
      <c r="H24" s="280">
        <f>H21-H22-H23</f>
        <v/>
      </c>
      <c r="I24" s="280">
        <f>I21-I22-I23</f>
        <v/>
      </c>
      <c r="J24" s="280">
        <f>J21-J22-J23</f>
        <v/>
      </c>
      <c r="K24" s="280">
        <f>K21-K22-K23</f>
        <v/>
      </c>
      <c r="L24" s="280">
        <f>L21-L22-L23</f>
        <v/>
      </c>
      <c r="M24" s="280">
        <f>M21-M22-M23</f>
        <v/>
      </c>
      <c r="N24" s="280">
        <f>SUM(B24:M24)</f>
        <v/>
      </c>
      <c r="O24" s="280">
        <f>O21-O22-O23</f>
        <v/>
      </c>
      <c r="P24" s="280">
        <f>P21-P22-P23</f>
        <v/>
      </c>
      <c r="Q24" s="280">
        <f>Q21-Q22-Q23</f>
        <v/>
      </c>
      <c r="R24" s="280">
        <f>R21-R22-R23</f>
        <v/>
      </c>
      <c r="S24" s="280">
        <f>S21-S22-S23</f>
        <v/>
      </c>
      <c r="T24" s="280">
        <f>T21-T22-T23</f>
        <v/>
      </c>
      <c r="U24" s="280">
        <f>U21-U22-U23</f>
        <v/>
      </c>
      <c r="V24" s="280">
        <f>V21-V22-V23</f>
        <v/>
      </c>
      <c r="W24" s="280">
        <f>W21-W22-W23</f>
        <v/>
      </c>
      <c r="X24" s="280">
        <f>X21-X22-X23</f>
        <v/>
      </c>
      <c r="Y24" s="280">
        <f>Y21-Y22-Y23</f>
        <v/>
      </c>
      <c r="Z24" s="280">
        <f>Z21-Z22-Z23</f>
        <v/>
      </c>
      <c r="AA24" s="280">
        <f>SUM(O24:Z24)</f>
        <v/>
      </c>
      <c r="AB24" s="280">
        <f>AB21-AB22-AB23</f>
        <v/>
      </c>
      <c r="AC24" s="280">
        <f>AC21-AC22-AC23</f>
        <v/>
      </c>
      <c r="AD24" s="280">
        <f>AD21-AD22-AD23</f>
        <v/>
      </c>
      <c r="AE24" s="280">
        <f>AE21-AE22-AE23</f>
        <v/>
      </c>
      <c r="AF24" s="280">
        <f>AF21-AF22-AF23</f>
        <v/>
      </c>
      <c r="AG24" s="280">
        <f>AG21-AG22-AG23</f>
        <v/>
      </c>
      <c r="AH24" s="280">
        <f>AH21-AH22-AH23</f>
        <v/>
      </c>
      <c r="AI24" s="280">
        <f>AI21-AI22-AI23</f>
        <v/>
      </c>
      <c r="AJ24" s="280">
        <f>AJ21-AJ22-AJ23</f>
        <v/>
      </c>
      <c r="AK24" s="280">
        <f>AK21-AK22-AK23</f>
        <v/>
      </c>
      <c r="AL24" s="280">
        <f>AL21-AL22-AL23</f>
        <v/>
      </c>
      <c r="AM24" s="280">
        <f>AM21-AM22-AM23</f>
        <v/>
      </c>
      <c r="AN24" s="280">
        <f>SUM(AB24:AM24)</f>
        <v/>
      </c>
      <c r="AO24" s="280">
        <f>AO21-AO22-AO23</f>
        <v/>
      </c>
      <c r="AP24" s="280">
        <f>AP21-AP22-AP23</f>
        <v/>
      </c>
      <c r="AQ24" s="280">
        <f>AQ21-AQ22-AQ23</f>
        <v/>
      </c>
      <c r="AR24" s="280">
        <f>AR21-AR22-AR23</f>
        <v/>
      </c>
      <c r="AS24" s="280">
        <f>AS21-AS22-AS23</f>
        <v/>
      </c>
      <c r="AT24" s="280">
        <f>AT21-AT22-AT23</f>
        <v/>
      </c>
      <c r="AU24" s="280">
        <f>AU21-AU22-AU23</f>
        <v/>
      </c>
      <c r="AV24" s="280">
        <f>AV21-AV22-AV23</f>
        <v/>
      </c>
      <c r="AW24" s="280">
        <f>AW21-AW22-AW23</f>
        <v/>
      </c>
      <c r="AX24" s="280">
        <f>AX21-AX22-AX23</f>
        <v/>
      </c>
      <c r="AY24" s="280">
        <f>AY21-AY22-AY23</f>
        <v/>
      </c>
      <c r="AZ24" s="280">
        <f>AZ21-AZ22-AZ23</f>
        <v/>
      </c>
      <c r="BA24" s="280">
        <f>SUM(AO24:AZ24)</f>
        <v/>
      </c>
      <c r="BB24" s="280">
        <f>BB21-BB22-BB23</f>
        <v/>
      </c>
      <c r="BC24" s="280">
        <f>BC21-BC22-BC23</f>
        <v/>
      </c>
      <c r="BD24" s="280">
        <f>BD21-BD22-BD23</f>
        <v/>
      </c>
      <c r="BE24" s="280">
        <f>BE21-BE22-BE23</f>
        <v/>
      </c>
      <c r="BF24" s="280">
        <f>BF21-BF22-BF23</f>
        <v/>
      </c>
      <c r="BG24" s="280">
        <f>BG21-BG22-BG23</f>
        <v/>
      </c>
      <c r="BH24" s="280">
        <f>BH21-BH22-BH23</f>
        <v/>
      </c>
      <c r="BI24" s="280">
        <f>BI21-BI22-BI23</f>
        <v/>
      </c>
      <c r="BJ24" s="280">
        <f>BJ21-BJ22-BJ23</f>
        <v/>
      </c>
      <c r="BK24" s="280">
        <f>BK21-BK22-BK23</f>
        <v/>
      </c>
      <c r="BL24" s="280">
        <f>BL21-BL22-BL23</f>
        <v/>
      </c>
      <c r="BM24" s="280">
        <f>BM21-BM22-BM23</f>
        <v/>
      </c>
      <c r="BN24" s="280">
        <f>SUM(BB24:BM24)</f>
        <v/>
      </c>
    </row>
    <row r="25">
      <c r="A25" s="144" t="inlineStr">
        <is>
          <t>(-) Income Tax</t>
        </is>
      </c>
      <c r="B25" s="281">
        <f>IF(B24&gt;0,B24*Assumptions!$C$14,0)</f>
        <v/>
      </c>
      <c r="C25" s="281">
        <f>IF(C24&gt;0,C24*Assumptions!$C$14,0)</f>
        <v/>
      </c>
      <c r="D25" s="281">
        <f>IF(D24&gt;0,D24*Assumptions!$C$14,0)</f>
        <v/>
      </c>
      <c r="E25" s="281">
        <f>IF(E24&gt;0,E24*Assumptions!$C$14,0)</f>
        <v/>
      </c>
      <c r="F25" s="281">
        <f>IF(F24&gt;0,F24*Assumptions!$C$14,0)</f>
        <v/>
      </c>
      <c r="G25" s="281">
        <f>IF(G24&gt;0,G24*Assumptions!$C$14,0)</f>
        <v/>
      </c>
      <c r="H25" s="281">
        <f>IF(H24&gt;0,H24*Assumptions!$C$14,0)</f>
        <v/>
      </c>
      <c r="I25" s="281">
        <f>IF(I24&gt;0,I24*Assumptions!$C$14,0)</f>
        <v/>
      </c>
      <c r="J25" s="281">
        <f>IF(J24&gt;0,J24*Assumptions!$C$14,0)</f>
        <v/>
      </c>
      <c r="K25" s="281">
        <f>IF(K24&gt;0,K24*Assumptions!$C$14,0)</f>
        <v/>
      </c>
      <c r="L25" s="281">
        <f>IF(L24&gt;0,L24*Assumptions!$C$14,0)</f>
        <v/>
      </c>
      <c r="M25" s="281">
        <f>IF(M24&gt;0,M24*Assumptions!$C$14,0)</f>
        <v/>
      </c>
      <c r="N25" s="281">
        <f>IF(N24&gt;0,N24*Assumptions!$C$14,0)</f>
        <v/>
      </c>
      <c r="O25" s="281">
        <f>IF(O24&gt;0,O24*Assumptions!$C$14,0)</f>
        <v/>
      </c>
      <c r="P25" s="281">
        <f>IF(P24&gt;0,P24*Assumptions!$C$14,0)</f>
        <v/>
      </c>
      <c r="Q25" s="281">
        <f>IF(Q24&gt;0,Q24*Assumptions!$C$14,0)</f>
        <v/>
      </c>
      <c r="R25" s="281">
        <f>IF(R24&gt;0,R24*Assumptions!$C$14,0)</f>
        <v/>
      </c>
      <c r="S25" s="281">
        <f>IF(S24&gt;0,S24*Assumptions!$C$14,0)</f>
        <v/>
      </c>
      <c r="T25" s="281">
        <f>IF(T24&gt;0,T24*Assumptions!$C$14,0)</f>
        <v/>
      </c>
      <c r="U25" s="281">
        <f>IF(U24&gt;0,U24*Assumptions!$C$14,0)</f>
        <v/>
      </c>
      <c r="V25" s="281">
        <f>IF(V24&gt;0,V24*Assumptions!$C$14,0)</f>
        <v/>
      </c>
      <c r="W25" s="281">
        <f>IF(W24&gt;0,W24*Assumptions!$C$14,0)</f>
        <v/>
      </c>
      <c r="X25" s="281">
        <f>IF(X24&gt;0,X24*Assumptions!$C$14,0)</f>
        <v/>
      </c>
      <c r="Y25" s="281">
        <f>IF(Y24&gt;0,Y24*Assumptions!$C$14,0)</f>
        <v/>
      </c>
      <c r="Z25" s="281">
        <f>IF(Z24&gt;0,Z24*Assumptions!$C$14,0)</f>
        <v/>
      </c>
      <c r="AA25" s="281">
        <f>IF(AA24&gt;0,AA24*Assumptions!$C$14,0)</f>
        <v/>
      </c>
      <c r="AB25" s="281">
        <f>IF(AB24&gt;0,AB24*Assumptions!$C$14,0)</f>
        <v/>
      </c>
      <c r="AC25" s="281">
        <f>IF(AC24&gt;0,AC24*Assumptions!$C$14,0)</f>
        <v/>
      </c>
      <c r="AD25" s="281">
        <f>IF(AD24&gt;0,AD24*Assumptions!$C$14,0)</f>
        <v/>
      </c>
      <c r="AE25" s="281">
        <f>IF(AE24&gt;0,AE24*Assumptions!$C$14,0)</f>
        <v/>
      </c>
      <c r="AF25" s="281">
        <f>IF(AF24&gt;0,AF24*Assumptions!$C$14,0)</f>
        <v/>
      </c>
      <c r="AG25" s="281">
        <f>IF(AG24&gt;0,AG24*Assumptions!$C$14,0)</f>
        <v/>
      </c>
      <c r="AH25" s="281">
        <f>IF(AH24&gt;0,AH24*Assumptions!$C$14,0)</f>
        <v/>
      </c>
      <c r="AI25" s="281">
        <f>IF(AI24&gt;0,AI24*Assumptions!$C$14,0)</f>
        <v/>
      </c>
      <c r="AJ25" s="281">
        <f>IF(AJ24&gt;0,AJ24*Assumptions!$C$14,0)</f>
        <v/>
      </c>
      <c r="AK25" s="281">
        <f>IF(AK24&gt;0,AK24*Assumptions!$C$14,0)</f>
        <v/>
      </c>
      <c r="AL25" s="281">
        <f>IF(AL24&gt;0,AL24*Assumptions!$C$14,0)</f>
        <v/>
      </c>
      <c r="AM25" s="281">
        <f>IF(AM24&gt;0,AM24*Assumptions!$C$14,0)</f>
        <v/>
      </c>
      <c r="AN25" s="281">
        <f>IF(AN24&gt;0,AN24*Assumptions!$C$14,0)</f>
        <v/>
      </c>
      <c r="AO25" s="281">
        <f>IF(AO24&gt;0,AO24*Assumptions!$C$14,0)</f>
        <v/>
      </c>
      <c r="AP25" s="281">
        <f>IF(AP24&gt;0,AP24*Assumptions!$C$14,0)</f>
        <v/>
      </c>
      <c r="AQ25" s="281">
        <f>IF(AQ24&gt;0,AQ24*Assumptions!$C$14,0)</f>
        <v/>
      </c>
      <c r="AR25" s="281">
        <f>IF(AR24&gt;0,AR24*Assumptions!$C$14,0)</f>
        <v/>
      </c>
      <c r="AS25" s="281">
        <f>IF(AS24&gt;0,AS24*Assumptions!$C$14,0)</f>
        <v/>
      </c>
      <c r="AT25" s="281">
        <f>IF(AT24&gt;0,AT24*Assumptions!$C$14,0)</f>
        <v/>
      </c>
      <c r="AU25" s="281">
        <f>IF(AU24&gt;0,AU24*Assumptions!$C$14,0)</f>
        <v/>
      </c>
      <c r="AV25" s="281">
        <f>IF(AV24&gt;0,AV24*Assumptions!$C$14,0)</f>
        <v/>
      </c>
      <c r="AW25" s="281">
        <f>IF(AW24&gt;0,AW24*Assumptions!$C$14,0)</f>
        <v/>
      </c>
      <c r="AX25" s="281">
        <f>IF(AX24&gt;0,AX24*Assumptions!$C$14,0)</f>
        <v/>
      </c>
      <c r="AY25" s="281">
        <f>IF(AY24&gt;0,AY24*Assumptions!$C$14,0)</f>
        <v/>
      </c>
      <c r="AZ25" s="281">
        <f>IF(AZ24&gt;0,AZ24*Assumptions!$C$14,0)</f>
        <v/>
      </c>
      <c r="BA25" s="281">
        <f>IF(BA24&gt;0,BA24*Assumptions!$C$14,0)</f>
        <v/>
      </c>
      <c r="BB25" s="281">
        <f>IF(BB24&gt;0,BB24*Assumptions!$C$14,0)</f>
        <v/>
      </c>
      <c r="BC25" s="281">
        <f>IF(BC24&gt;0,BC24*Assumptions!$C$14,0)</f>
        <v/>
      </c>
      <c r="BD25" s="281">
        <f>IF(BD24&gt;0,BD24*Assumptions!$C$14,0)</f>
        <v/>
      </c>
      <c r="BE25" s="281">
        <f>IF(BE24&gt;0,BE24*Assumptions!$C$14,0)</f>
        <v/>
      </c>
      <c r="BF25" s="281">
        <f>IF(BF24&gt;0,BF24*Assumptions!$C$14,0)</f>
        <v/>
      </c>
      <c r="BG25" s="281">
        <f>IF(BG24&gt;0,BG24*Assumptions!$C$14,0)</f>
        <v/>
      </c>
      <c r="BH25" s="281">
        <f>IF(BH24&gt;0,BH24*Assumptions!$C$14,0)</f>
        <v/>
      </c>
      <c r="BI25" s="281">
        <f>IF(BI24&gt;0,BI24*Assumptions!$C$14,0)</f>
        <v/>
      </c>
      <c r="BJ25" s="281">
        <f>IF(BJ24&gt;0,BJ24*Assumptions!$C$14,0)</f>
        <v/>
      </c>
      <c r="BK25" s="281">
        <f>IF(BK24&gt;0,BK24*Assumptions!$C$14,0)</f>
        <v/>
      </c>
      <c r="BL25" s="281">
        <f>IF(BL24&gt;0,BL24*Assumptions!$C$14,0)</f>
        <v/>
      </c>
      <c r="BM25" s="281">
        <f>IF(BM24&gt;0,BM24*Assumptions!$C$14,0)</f>
        <v/>
      </c>
      <c r="BN25" s="281">
        <f>IF(BN24&gt;0,BN24*Assumptions!$C$14,0)</f>
        <v/>
      </c>
    </row>
    <row r="26">
      <c r="A26" s="279" t="inlineStr">
        <is>
          <t>Profit After Tax (PAT)</t>
        </is>
      </c>
      <c r="B26" s="280">
        <f>B24-B25</f>
        <v/>
      </c>
      <c r="C26" s="280">
        <f>C24-C25</f>
        <v/>
      </c>
      <c r="D26" s="280">
        <f>D24-D25</f>
        <v/>
      </c>
      <c r="E26" s="280">
        <f>E24-E25</f>
        <v/>
      </c>
      <c r="F26" s="280">
        <f>F24-F25</f>
        <v/>
      </c>
      <c r="G26" s="280">
        <f>G24-G25</f>
        <v/>
      </c>
      <c r="H26" s="280">
        <f>H24-H25</f>
        <v/>
      </c>
      <c r="I26" s="280">
        <f>I24-I25</f>
        <v/>
      </c>
      <c r="J26" s="280">
        <f>J24-J25</f>
        <v/>
      </c>
      <c r="K26" s="280">
        <f>K24-K25</f>
        <v/>
      </c>
      <c r="L26" s="280">
        <f>L24-L25</f>
        <v/>
      </c>
      <c r="M26" s="280">
        <f>M24-M25</f>
        <v/>
      </c>
      <c r="N26" s="280">
        <f>N24-N25</f>
        <v/>
      </c>
      <c r="O26" s="280">
        <f>O24-O25</f>
        <v/>
      </c>
      <c r="P26" s="280">
        <f>P24-P25</f>
        <v/>
      </c>
      <c r="Q26" s="280">
        <f>Q24-Q25</f>
        <v/>
      </c>
      <c r="R26" s="280">
        <f>R24-R25</f>
        <v/>
      </c>
      <c r="S26" s="280">
        <f>S24-S25</f>
        <v/>
      </c>
      <c r="T26" s="280">
        <f>T24-T25</f>
        <v/>
      </c>
      <c r="U26" s="280">
        <f>U24-U25</f>
        <v/>
      </c>
      <c r="V26" s="280">
        <f>V24-V25</f>
        <v/>
      </c>
      <c r="W26" s="280">
        <f>W24-W25</f>
        <v/>
      </c>
      <c r="X26" s="280">
        <f>X24-X25</f>
        <v/>
      </c>
      <c r="Y26" s="280">
        <f>Y24-Y25</f>
        <v/>
      </c>
      <c r="Z26" s="280">
        <f>Z24-Z25</f>
        <v/>
      </c>
      <c r="AA26" s="280">
        <f>AA24-AA25</f>
        <v/>
      </c>
      <c r="AB26" s="280">
        <f>AB24-AB25</f>
        <v/>
      </c>
      <c r="AC26" s="280">
        <f>AC24-AC25</f>
        <v/>
      </c>
      <c r="AD26" s="280">
        <f>AD24-AD25</f>
        <v/>
      </c>
      <c r="AE26" s="280">
        <f>AE24-AE25</f>
        <v/>
      </c>
      <c r="AF26" s="280">
        <f>AF24-AF25</f>
        <v/>
      </c>
      <c r="AG26" s="280">
        <f>AG24-AG25</f>
        <v/>
      </c>
      <c r="AH26" s="280">
        <f>AH24-AH25</f>
        <v/>
      </c>
      <c r="AI26" s="280">
        <f>AI24-AI25</f>
        <v/>
      </c>
      <c r="AJ26" s="280">
        <f>AJ24-AJ25</f>
        <v/>
      </c>
      <c r="AK26" s="280">
        <f>AK24-AK25</f>
        <v/>
      </c>
      <c r="AL26" s="280">
        <f>AL24-AL25</f>
        <v/>
      </c>
      <c r="AM26" s="280">
        <f>AM24-AM25</f>
        <v/>
      </c>
      <c r="AN26" s="280">
        <f>AN24-AN25</f>
        <v/>
      </c>
      <c r="AO26" s="280">
        <f>AO24-AO25</f>
        <v/>
      </c>
      <c r="AP26" s="280">
        <f>AP24-AP25</f>
        <v/>
      </c>
      <c r="AQ26" s="280">
        <f>AQ24-AQ25</f>
        <v/>
      </c>
      <c r="AR26" s="280">
        <f>AR24-AR25</f>
        <v/>
      </c>
      <c r="AS26" s="280">
        <f>AS24-AS25</f>
        <v/>
      </c>
      <c r="AT26" s="280">
        <f>AT24-AT25</f>
        <v/>
      </c>
      <c r="AU26" s="280">
        <f>AU24-AU25</f>
        <v/>
      </c>
      <c r="AV26" s="280">
        <f>AV24-AV25</f>
        <v/>
      </c>
      <c r="AW26" s="280">
        <f>AW24-AW25</f>
        <v/>
      </c>
      <c r="AX26" s="280">
        <f>AX24-AX25</f>
        <v/>
      </c>
      <c r="AY26" s="280">
        <f>AY24-AY25</f>
        <v/>
      </c>
      <c r="AZ26" s="280">
        <f>AZ24-AZ25</f>
        <v/>
      </c>
      <c r="BA26" s="280">
        <f>BA24-BA25</f>
        <v/>
      </c>
      <c r="BB26" s="280">
        <f>BB24-BB25</f>
        <v/>
      </c>
      <c r="BC26" s="280">
        <f>BC24-BC25</f>
        <v/>
      </c>
      <c r="BD26" s="280">
        <f>BD24-BD25</f>
        <v/>
      </c>
      <c r="BE26" s="280">
        <f>BE24-BE25</f>
        <v/>
      </c>
      <c r="BF26" s="280">
        <f>BF24-BF25</f>
        <v/>
      </c>
      <c r="BG26" s="280">
        <f>BG24-BG25</f>
        <v/>
      </c>
      <c r="BH26" s="280">
        <f>BH24-BH25</f>
        <v/>
      </c>
      <c r="BI26" s="280">
        <f>BI24-BI25</f>
        <v/>
      </c>
      <c r="BJ26" s="280">
        <f>BJ24-BJ25</f>
        <v/>
      </c>
      <c r="BK26" s="280">
        <f>BK24-BK25</f>
        <v/>
      </c>
      <c r="BL26" s="280">
        <f>BL24-BL25</f>
        <v/>
      </c>
      <c r="BM26" s="280">
        <f>BM24-BM25</f>
        <v/>
      </c>
      <c r="BN26" s="280">
        <f>BN24-BN25</f>
        <v/>
      </c>
    </row>
    <row r="27">
      <c r="A27" s="279" t="inlineStr">
        <is>
          <t>Cash Accrual (PAT + Depreciation)</t>
        </is>
      </c>
      <c r="B27" s="280">
        <f>B26+B20</f>
        <v/>
      </c>
      <c r="C27" s="280">
        <f>C26+C20</f>
        <v/>
      </c>
      <c r="D27" s="280">
        <f>D26+D20</f>
        <v/>
      </c>
      <c r="E27" s="280">
        <f>E26+E20</f>
        <v/>
      </c>
      <c r="F27" s="280">
        <f>F26+F20</f>
        <v/>
      </c>
      <c r="G27" s="280">
        <f>G26+G20</f>
        <v/>
      </c>
      <c r="H27" s="280">
        <f>H26+H20</f>
        <v/>
      </c>
      <c r="I27" s="280">
        <f>I26+I20</f>
        <v/>
      </c>
      <c r="J27" s="280">
        <f>J26+J20</f>
        <v/>
      </c>
      <c r="K27" s="280">
        <f>K26+K20</f>
        <v/>
      </c>
      <c r="L27" s="280">
        <f>L26+L20</f>
        <v/>
      </c>
      <c r="M27" s="280">
        <f>M26+M20</f>
        <v/>
      </c>
      <c r="N27" s="280">
        <f>N26+N20</f>
        <v/>
      </c>
      <c r="O27" s="280">
        <f>O26+O20</f>
        <v/>
      </c>
      <c r="P27" s="280">
        <f>P26+P20</f>
        <v/>
      </c>
      <c r="Q27" s="280">
        <f>Q26+Q20</f>
        <v/>
      </c>
      <c r="R27" s="280">
        <f>R26+R20</f>
        <v/>
      </c>
      <c r="S27" s="280">
        <f>S26+S20</f>
        <v/>
      </c>
      <c r="T27" s="280">
        <f>T26+T20</f>
        <v/>
      </c>
      <c r="U27" s="280">
        <f>U26+U20</f>
        <v/>
      </c>
      <c r="V27" s="280">
        <f>V26+V20</f>
        <v/>
      </c>
      <c r="W27" s="280">
        <f>W26+W20</f>
        <v/>
      </c>
      <c r="X27" s="280">
        <f>X26+X20</f>
        <v/>
      </c>
      <c r="Y27" s="280">
        <f>Y26+Y20</f>
        <v/>
      </c>
      <c r="Z27" s="280">
        <f>Z26+Z20</f>
        <v/>
      </c>
      <c r="AA27" s="280">
        <f>AA26+AA20</f>
        <v/>
      </c>
      <c r="AB27" s="280">
        <f>AB26+AB20</f>
        <v/>
      </c>
      <c r="AC27" s="280">
        <f>AC26+AC20</f>
        <v/>
      </c>
      <c r="AD27" s="280">
        <f>AD26+AD20</f>
        <v/>
      </c>
      <c r="AE27" s="280">
        <f>AE26+AE20</f>
        <v/>
      </c>
      <c r="AF27" s="280">
        <f>AF26+AF20</f>
        <v/>
      </c>
      <c r="AG27" s="280">
        <f>AG26+AG20</f>
        <v/>
      </c>
      <c r="AH27" s="280">
        <f>AH26+AH20</f>
        <v/>
      </c>
      <c r="AI27" s="280">
        <f>AI26+AI20</f>
        <v/>
      </c>
      <c r="AJ27" s="280">
        <f>AJ26+AJ20</f>
        <v/>
      </c>
      <c r="AK27" s="280">
        <f>AK26+AK20</f>
        <v/>
      </c>
      <c r="AL27" s="280">
        <f>AL26+AL20</f>
        <v/>
      </c>
      <c r="AM27" s="280">
        <f>AM26+AM20</f>
        <v/>
      </c>
      <c r="AN27" s="280">
        <f>AN26+AN20</f>
        <v/>
      </c>
      <c r="AO27" s="280">
        <f>AO26+AO20</f>
        <v/>
      </c>
      <c r="AP27" s="280">
        <f>AP26+AP20</f>
        <v/>
      </c>
      <c r="AQ27" s="280">
        <f>AQ26+AQ20</f>
        <v/>
      </c>
      <c r="AR27" s="280">
        <f>AR26+AR20</f>
        <v/>
      </c>
      <c r="AS27" s="280">
        <f>AS26+AS20</f>
        <v/>
      </c>
      <c r="AT27" s="280">
        <f>AT26+AT20</f>
        <v/>
      </c>
      <c r="AU27" s="280">
        <f>AU26+AU20</f>
        <v/>
      </c>
      <c r="AV27" s="280">
        <f>AV26+AV20</f>
        <v/>
      </c>
      <c r="AW27" s="280">
        <f>AW26+AW20</f>
        <v/>
      </c>
      <c r="AX27" s="280">
        <f>AX26+AX20</f>
        <v/>
      </c>
      <c r="AY27" s="280">
        <f>AY26+AY20</f>
        <v/>
      </c>
      <c r="AZ27" s="280">
        <f>AZ26+AZ20</f>
        <v/>
      </c>
      <c r="BA27" s="280">
        <f>BA26+BA20</f>
        <v/>
      </c>
      <c r="BB27" s="280">
        <f>BB26+BB20</f>
        <v/>
      </c>
      <c r="BC27" s="280">
        <f>BC26+BC20</f>
        <v/>
      </c>
      <c r="BD27" s="280">
        <f>BD26+BD20</f>
        <v/>
      </c>
      <c r="BE27" s="280">
        <f>BE26+BE20</f>
        <v/>
      </c>
      <c r="BF27" s="280">
        <f>BF26+BF20</f>
        <v/>
      </c>
      <c r="BG27" s="280">
        <f>BG26+BG20</f>
        <v/>
      </c>
      <c r="BH27" s="280">
        <f>BH26+BH20</f>
        <v/>
      </c>
      <c r="BI27" s="280">
        <f>BI26+BI20</f>
        <v/>
      </c>
      <c r="BJ27" s="280">
        <f>BJ26+BJ20</f>
        <v/>
      </c>
      <c r="BK27" s="280">
        <f>BK26+BK20</f>
        <v/>
      </c>
      <c r="BL27" s="280">
        <f>BL26+BL20</f>
        <v/>
      </c>
      <c r="BM27" s="280">
        <f>BM26+BM20</f>
        <v/>
      </c>
      <c r="BN27" s="280">
        <f>BN26+BN20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ANNUAL SUMMARY  —  CONSOLIDATED 5-YEAR VIEW</t>
        </is>
      </c>
    </row>
    <row r="2" ht="15" customHeight="1" s="82">
      <c r="A2" s="114" t="inlineStr">
        <is>
          <t>Roll-up of the 60-month projections. Feeds every CMA form below.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PRODUCTION &amp; SALES</t>
        </is>
      </c>
    </row>
    <row r="6" ht="15" customHeight="1" s="82">
      <c r="B6" s="88">
        <f>IFERROR(VLOOKUP(Assumptions!$J$5,INDUSTRY_MAP,3,FALSE()),"Production (units)")</f>
        <v/>
      </c>
      <c r="C6" s="140">
        <f>'Revenue Build-Up'!N6</f>
        <v/>
      </c>
      <c r="D6" s="140">
        <f>'Revenue Build-Up'!AA6</f>
        <v/>
      </c>
      <c r="E6" s="140">
        <f>'Revenue Build-Up'!AN6</f>
        <v/>
      </c>
      <c r="F6" s="140">
        <f>'Revenue Build-Up'!BA6</f>
        <v/>
      </c>
      <c r="G6" s="140">
        <f>'Revenue Build-Up'!BN6</f>
        <v/>
      </c>
    </row>
    <row r="7" ht="15" customHeight="1" s="82">
      <c r="B7" s="88" t="inlineStr">
        <is>
          <t>Growth index (Year 1 = 100%)</t>
        </is>
      </c>
      <c r="C7" s="135">
        <f>Assumptions!$C$18</f>
        <v/>
      </c>
      <c r="D7" s="135">
        <f>Assumptions!$D$18</f>
        <v/>
      </c>
      <c r="E7" s="135">
        <f>Assumptions!$E$18</f>
        <v/>
      </c>
      <c r="F7" s="135">
        <f>Assumptions!$F$18</f>
        <v/>
      </c>
      <c r="G7" s="135">
        <f>Assumptions!$G$18</f>
        <v/>
      </c>
    </row>
    <row r="8" ht="15" customHeight="1" s="82">
      <c r="B8" s="137" t="inlineStr">
        <is>
          <t>Net Sales / Revenue (₹)</t>
        </is>
      </c>
      <c r="C8" s="147">
        <f>'Revenue Build-Up'!N26</f>
        <v/>
      </c>
      <c r="D8" s="147">
        <f>'Revenue Build-Up'!AA26</f>
        <v/>
      </c>
      <c r="E8" s="147">
        <f>'Revenue Build-Up'!AN26</f>
        <v/>
      </c>
      <c r="F8" s="147">
        <f>'Revenue Build-Up'!BA26</f>
        <v/>
      </c>
      <c r="G8" s="147">
        <f>'Revenue Build-Up'!BN26</f>
        <v/>
      </c>
    </row>
    <row r="9" ht="16.5" customHeight="1" s="82">
      <c r="B9" s="146" t="inlineStr">
        <is>
          <t>COST STRUCTURE (₹)</t>
        </is>
      </c>
    </row>
    <row r="10" ht="15" customHeight="1" s="82">
      <c r="B10" s="88">
        <f>IFERROR(VLOOKUP(Assumptions!$J$5,INDUSTRY_MAP,5,FALSE()),"Raw materials")</f>
        <v/>
      </c>
      <c r="C10" s="140">
        <f>Expenses!N5</f>
        <v/>
      </c>
      <c r="D10" s="140">
        <f>Expenses!AA5</f>
        <v/>
      </c>
      <c r="E10" s="140">
        <f>Expenses!AN5</f>
        <v/>
      </c>
      <c r="F10" s="140">
        <f>Expenses!BA5</f>
        <v/>
      </c>
      <c r="G10" s="140">
        <f>Expenses!BN5</f>
        <v/>
      </c>
    </row>
    <row r="11" ht="15" customHeight="1" s="82">
      <c r="B11" s="88">
        <f>IFERROR(VLOOKUP(Assumptions!$J$5,INDUSTRY_MAP,7,FALSE()),"Power &amp; fuel")</f>
        <v/>
      </c>
      <c r="C11" s="140">
        <f>Expenses!N6</f>
        <v/>
      </c>
      <c r="D11" s="140">
        <f>Expenses!AA6</f>
        <v/>
      </c>
      <c r="E11" s="140">
        <f>Expenses!AN6</f>
        <v/>
      </c>
      <c r="F11" s="140">
        <f>Expenses!BA6</f>
        <v/>
      </c>
      <c r="G11" s="140">
        <f>Expenses!BN6</f>
        <v/>
      </c>
    </row>
    <row r="12" ht="15" customHeight="1" s="82">
      <c r="B12" s="88" t="inlineStr">
        <is>
          <t>Direct wages &amp; salaries</t>
        </is>
      </c>
      <c r="C12" s="140">
        <f>Expenses!N7</f>
        <v/>
      </c>
      <c r="D12" s="140">
        <f>Expenses!AA7</f>
        <v/>
      </c>
      <c r="E12" s="140">
        <f>Expenses!AN7</f>
        <v/>
      </c>
      <c r="F12" s="140">
        <f>Expenses!BA7</f>
        <v/>
      </c>
      <c r="G12" s="140">
        <f>Expenses!BN7</f>
        <v/>
      </c>
    </row>
    <row r="13" ht="15" customHeight="1" s="82">
      <c r="B13" s="88" t="inlineStr">
        <is>
          <t>Other variable cost</t>
        </is>
      </c>
      <c r="C13" s="140">
        <f>Expenses!N8</f>
        <v/>
      </c>
      <c r="D13" s="140">
        <f>Expenses!AA8</f>
        <v/>
      </c>
      <c r="E13" s="140">
        <f>Expenses!AN8</f>
        <v/>
      </c>
      <c r="F13" s="140">
        <f>Expenses!BA8</f>
        <v/>
      </c>
      <c r="G13" s="140">
        <f>Expenses!BN8</f>
        <v/>
      </c>
    </row>
    <row r="14" ht="15" customHeight="1" s="82">
      <c r="B14" s="88">
        <f>IFERROR(VLOOKUP(Assumptions!$J$5,INDUSTRY_MAP,8,FALSE()),"Factory overheads")</f>
        <v/>
      </c>
      <c r="C14" s="140">
        <f>Expenses!N9</f>
        <v/>
      </c>
      <c r="D14" s="140">
        <f>Expenses!AA9</f>
        <v/>
      </c>
      <c r="E14" s="140">
        <f>Expenses!AN9</f>
        <v/>
      </c>
      <c r="F14" s="140">
        <f>Expenses!BA9</f>
        <v/>
      </c>
      <c r="G14" s="140">
        <f>Expenses!BN9</f>
        <v/>
      </c>
    </row>
    <row r="15" ht="15" customHeight="1" s="82">
      <c r="B15" s="88" t="inlineStr">
        <is>
          <t>Repairs &amp; maintenance</t>
        </is>
      </c>
      <c r="C15" s="140">
        <f>Expenses!N10</f>
        <v/>
      </c>
      <c r="D15" s="140">
        <f>Expenses!AA10</f>
        <v/>
      </c>
      <c r="E15" s="140">
        <f>Expenses!AN10</f>
        <v/>
      </c>
      <c r="F15" s="140">
        <f>Expenses!BA10</f>
        <v/>
      </c>
      <c r="G15" s="140">
        <f>Expenses!BN10</f>
        <v/>
      </c>
    </row>
    <row r="16" ht="15" customHeight="1" s="82">
      <c r="B16" s="88" t="inlineStr">
        <is>
          <t>Administrative expenses</t>
        </is>
      </c>
      <c r="C16" s="140">
        <f>Expenses!N11</f>
        <v/>
      </c>
      <c r="D16" s="140">
        <f>Expenses!AA11</f>
        <v/>
      </c>
      <c r="E16" s="140">
        <f>Expenses!AN11</f>
        <v/>
      </c>
      <c r="F16" s="140">
        <f>Expenses!BA11</f>
        <v/>
      </c>
      <c r="G16" s="140">
        <f>Expenses!BN11</f>
        <v/>
      </c>
    </row>
    <row r="17" ht="15" customHeight="1" s="82">
      <c r="B17" s="88" t="inlineStr">
        <is>
          <t>Selling &amp; distribution</t>
        </is>
      </c>
      <c r="C17" s="140">
        <f>Expenses!N12</f>
        <v/>
      </c>
      <c r="D17" s="140">
        <f>Expenses!AA12</f>
        <v/>
      </c>
      <c r="E17" s="140">
        <f>Expenses!AN12</f>
        <v/>
      </c>
      <c r="F17" s="140">
        <f>Expenses!BA12</f>
        <v/>
      </c>
      <c r="G17" s="140">
        <f>Expenses!BN12</f>
        <v/>
      </c>
    </row>
    <row r="18" ht="15" customHeight="1" s="82">
      <c r="B18" s="88" t="inlineStr">
        <is>
          <t>Depreciation</t>
        </is>
      </c>
      <c r="C18" s="140">
        <f>Expenses!N13</f>
        <v/>
      </c>
      <c r="D18" s="140">
        <f>Expenses!AA13</f>
        <v/>
      </c>
      <c r="E18" s="140">
        <f>Expenses!AN13</f>
        <v/>
      </c>
      <c r="F18" s="140">
        <f>Expenses!BA13</f>
        <v/>
      </c>
      <c r="G18" s="140">
        <f>Expenses!BN13</f>
        <v/>
      </c>
    </row>
    <row r="19" ht="15" customHeight="1" s="82">
      <c r="B19" s="88" t="inlineStr">
        <is>
          <t>Interest — Term Loan</t>
        </is>
      </c>
      <c r="C19" s="140">
        <f>Expenses!N14</f>
        <v/>
      </c>
      <c r="D19" s="140">
        <f>Expenses!AA14</f>
        <v/>
      </c>
      <c r="E19" s="140">
        <f>Expenses!AN14</f>
        <v/>
      </c>
      <c r="F19" s="140">
        <f>Expenses!BA14</f>
        <v/>
      </c>
      <c r="G19" s="140">
        <f>Expenses!BN14</f>
        <v/>
      </c>
    </row>
    <row r="20" ht="15" customHeight="1" s="82">
      <c r="B20" s="88" t="inlineStr">
        <is>
          <t>Interest — Working Capital</t>
        </is>
      </c>
      <c r="C20" s="140">
        <f>Expenses!N15</f>
        <v/>
      </c>
      <c r="D20" s="140">
        <f>Expenses!AA15</f>
        <v/>
      </c>
      <c r="E20" s="140">
        <f>Expenses!AN15</f>
        <v/>
      </c>
      <c r="F20" s="140">
        <f>Expenses!BA15</f>
        <v/>
      </c>
      <c r="G20" s="140">
        <f>Expenses!BN15</f>
        <v/>
      </c>
    </row>
    <row r="21" ht="16.5" customHeight="1" s="82">
      <c r="B21" s="146" t="inlineStr">
        <is>
          <t>PROFITABILITY (₹)</t>
        </is>
      </c>
    </row>
    <row r="22" ht="15" customHeight="1" s="82">
      <c r="B22" s="137" t="inlineStr">
        <is>
          <t>EBITDA</t>
        </is>
      </c>
      <c r="C22" s="147">
        <f>'P &amp; L'!N19</f>
        <v/>
      </c>
      <c r="D22" s="147">
        <f>'P &amp; L'!AA19</f>
        <v/>
      </c>
      <c r="E22" s="147">
        <f>'P &amp; L'!AN19</f>
        <v/>
      </c>
      <c r="F22" s="147">
        <f>'P &amp; L'!BA19</f>
        <v/>
      </c>
      <c r="G22" s="147">
        <f>'P &amp; L'!BN19</f>
        <v/>
      </c>
    </row>
    <row r="23" ht="15" customHeight="1" s="82">
      <c r="B23" s="137" t="inlineStr">
        <is>
          <t>EBIT (Operating Profit)</t>
        </is>
      </c>
      <c r="C23" s="147">
        <f>'P &amp; L'!N21</f>
        <v/>
      </c>
      <c r="D23" s="147">
        <f>'P &amp; L'!AA21</f>
        <v/>
      </c>
      <c r="E23" s="147">
        <f>'P &amp; L'!AN21</f>
        <v/>
      </c>
      <c r="F23" s="147">
        <f>'P &amp; L'!BA21</f>
        <v/>
      </c>
      <c r="G23" s="147">
        <f>'P &amp; L'!BN21</f>
        <v/>
      </c>
    </row>
    <row r="24" ht="15" customHeight="1" s="82">
      <c r="B24" s="137" t="inlineStr">
        <is>
          <t>Profit Before Tax</t>
        </is>
      </c>
      <c r="C24" s="147">
        <f>'P &amp; L'!N24</f>
        <v/>
      </c>
      <c r="D24" s="147">
        <f>'P &amp; L'!AA24</f>
        <v/>
      </c>
      <c r="E24" s="147">
        <f>'P &amp; L'!AN24</f>
        <v/>
      </c>
      <c r="F24" s="147">
        <f>'P &amp; L'!BA24</f>
        <v/>
      </c>
      <c r="G24" s="147">
        <f>'P &amp; L'!BN24</f>
        <v/>
      </c>
    </row>
    <row r="25" ht="15" customHeight="1" s="82">
      <c r="B25" s="88" t="inlineStr">
        <is>
          <t>Income Tax</t>
        </is>
      </c>
      <c r="C25" s="140">
        <f>'P &amp; L'!N25</f>
        <v/>
      </c>
      <c r="D25" s="140">
        <f>'P &amp; L'!AA25</f>
        <v/>
      </c>
      <c r="E25" s="140">
        <f>'P &amp; L'!AN25</f>
        <v/>
      </c>
      <c r="F25" s="140">
        <f>'P &amp; L'!BA25</f>
        <v/>
      </c>
      <c r="G25" s="140">
        <f>'P &amp; L'!BN25</f>
        <v/>
      </c>
    </row>
    <row r="26" ht="15" customHeight="1" s="82">
      <c r="B26" s="137" t="inlineStr">
        <is>
          <t>Profit After Tax (PAT)</t>
        </is>
      </c>
      <c r="C26" s="147">
        <f>'P &amp; L'!N26</f>
        <v/>
      </c>
      <c r="D26" s="147">
        <f>'P &amp; L'!AA26</f>
        <v/>
      </c>
      <c r="E26" s="147">
        <f>'P &amp; L'!AN26</f>
        <v/>
      </c>
      <c r="F26" s="147">
        <f>'P &amp; L'!BA26</f>
        <v/>
      </c>
      <c r="G26" s="147">
        <f>'P &amp; L'!BN26</f>
        <v/>
      </c>
    </row>
    <row r="27" ht="15" customHeight="1" s="82">
      <c r="B27" s="137" t="inlineStr">
        <is>
          <t>Cash Accrual (PAT + Depreciation)</t>
        </is>
      </c>
      <c r="C27" s="147">
        <f>'P &amp; L'!N27</f>
        <v/>
      </c>
      <c r="D27" s="147">
        <f>'P &amp; L'!AA27</f>
        <v/>
      </c>
      <c r="E27" s="147">
        <f>'P &amp; L'!AN27</f>
        <v/>
      </c>
      <c r="F27" s="147">
        <f>'P &amp; L'!BA27</f>
        <v/>
      </c>
      <c r="G27" s="147">
        <f>'P &amp; L'!BN27</f>
        <v/>
      </c>
    </row>
  </sheetData>
  <mergeCells count="5">
    <mergeCell ref="B9:H9"/>
    <mergeCell ref="B21:H21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  —  OPERATING STATEMENT</t>
        </is>
      </c>
    </row>
    <row r="2" ht="15" customHeight="1" s="82">
      <c r="A2" s="114" t="inlineStr">
        <is>
          <t>Projected profitability in the format required for credit appraisal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Net Sales</t>
        </is>
      </c>
      <c r="C5" s="147">
        <f>Annual_Summary!C8</f>
        <v/>
      </c>
      <c r="D5" s="147">
        <f>Annual_Summary!D8</f>
        <v/>
      </c>
      <c r="E5" s="147">
        <f>Annual_Summary!E8</f>
        <v/>
      </c>
      <c r="F5" s="147">
        <f>Annual_Summary!F8</f>
        <v/>
      </c>
      <c r="G5" s="147">
        <f>Annual_Summary!G8</f>
        <v/>
      </c>
    </row>
    <row r="6" ht="16.5" customHeight="1" s="82">
      <c r="B6" s="146" t="inlineStr">
        <is>
          <t>Cost of Production</t>
        </is>
      </c>
    </row>
    <row r="7" ht="15" customHeight="1" s="82">
      <c r="B7" s="144">
        <f>IFERROR(VLOOKUP(Assumptions!$J$5,INDUSTRY_MAP,5,FALSE()),"Raw materials")</f>
        <v/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144">
        <f>IFERROR(VLOOKUP(Assumptions!$J$5,INDUSTRY_MAP,7,FALSE()),"Power &amp; fuel")</f>
        <v/>
      </c>
      <c r="C8" s="140">
        <f>Annual_Summary!C11</f>
        <v/>
      </c>
      <c r="D8" s="140">
        <f>Annual_Summary!D11</f>
        <v/>
      </c>
      <c r="E8" s="140">
        <f>Annual_Summary!E11</f>
        <v/>
      </c>
      <c r="F8" s="140">
        <f>Annual_Summary!F11</f>
        <v/>
      </c>
      <c r="G8" s="140">
        <f>Annual_Summary!G11</f>
        <v/>
      </c>
    </row>
    <row r="9" ht="15" customHeight="1" s="82">
      <c r="B9" s="144" t="inlineStr">
        <is>
          <t>Direct wages &amp; salaries</t>
        </is>
      </c>
      <c r="C9" s="140">
        <f>Annual_Summary!C12</f>
        <v/>
      </c>
      <c r="D9" s="140">
        <f>Annual_Summary!D12</f>
        <v/>
      </c>
      <c r="E9" s="140">
        <f>Annual_Summary!E12</f>
        <v/>
      </c>
      <c r="F9" s="140">
        <f>Annual_Summary!F12</f>
        <v/>
      </c>
      <c r="G9" s="140">
        <f>Annual_Summary!G12</f>
        <v/>
      </c>
    </row>
    <row r="10" ht="15" customHeight="1" s="82">
      <c r="B10" s="144" t="inlineStr">
        <is>
          <t>Other variable cost</t>
        </is>
      </c>
      <c r="C10" s="140">
        <f>Annual_Summary!C13</f>
        <v/>
      </c>
      <c r="D10" s="140">
        <f>Annual_Summary!D13</f>
        <v/>
      </c>
      <c r="E10" s="140">
        <f>Annual_Summary!E13</f>
        <v/>
      </c>
      <c r="F10" s="140">
        <f>Annual_Summary!F13</f>
        <v/>
      </c>
      <c r="G10" s="140">
        <f>Annual_Summary!G13</f>
        <v/>
      </c>
    </row>
    <row r="11" ht="15" customHeight="1" s="82">
      <c r="B11" s="144">
        <f>IFERROR(VLOOKUP(Assumptions!$J$5,INDUSTRY_MAP,8,FALSE()),"Factory overheads")</f>
        <v/>
      </c>
      <c r="C11" s="140">
        <f>Annual_Summary!C14</f>
        <v/>
      </c>
      <c r="D11" s="140">
        <f>Annual_Summary!D14</f>
        <v/>
      </c>
      <c r="E11" s="140">
        <f>Annual_Summary!E14</f>
        <v/>
      </c>
      <c r="F11" s="140">
        <f>Annual_Summary!F14</f>
        <v/>
      </c>
      <c r="G11" s="140">
        <f>Annual_Summary!G14</f>
        <v/>
      </c>
    </row>
    <row r="12" ht="15" customHeight="1" s="82">
      <c r="B12" s="144" t="inlineStr">
        <is>
          <t>Repairs &amp; maintenance</t>
        </is>
      </c>
      <c r="C12" s="140">
        <f>Annual_Summary!C15</f>
        <v/>
      </c>
      <c r="D12" s="140">
        <f>Annual_Summary!D15</f>
        <v/>
      </c>
      <c r="E12" s="140">
        <f>Annual_Summary!E15</f>
        <v/>
      </c>
      <c r="F12" s="140">
        <f>Annual_Summary!F15</f>
        <v/>
      </c>
      <c r="G12" s="140">
        <f>Annual_Summary!G15</f>
        <v/>
      </c>
    </row>
    <row r="13" ht="15" customHeight="1" s="82">
      <c r="B13" s="144" t="inlineStr">
        <is>
          <t>Depreciation</t>
        </is>
      </c>
      <c r="C13" s="140">
        <f>Annual_Summary!C18</f>
        <v/>
      </c>
      <c r="D13" s="140">
        <f>Annual_Summary!D18</f>
        <v/>
      </c>
      <c r="E13" s="140">
        <f>Annual_Summary!E18</f>
        <v/>
      </c>
      <c r="F13" s="140">
        <f>Annual_Summary!F18</f>
        <v/>
      </c>
      <c r="G13" s="140">
        <f>Annual_Summary!G18</f>
        <v/>
      </c>
    </row>
    <row r="14" ht="15" customHeight="1" s="82">
      <c r="B14" s="137" t="inlineStr">
        <is>
          <t>Cost of Production</t>
        </is>
      </c>
      <c r="C14" s="139">
        <f>Annual_Summary!C10+Annual_Summary!C11+Annual_Summary!C12+Annual_Summary!C13+Annual_Summary!C14+Annual_Summary!C15+Annual_Summary!C18</f>
        <v/>
      </c>
      <c r="D14" s="139">
        <f>Annual_Summary!D10+Annual_Summary!D11+Annual_Summary!D12+Annual_Summary!D13+Annual_Summary!D14+Annual_Summary!D15+Annual_Summary!D18</f>
        <v/>
      </c>
      <c r="E14" s="139">
        <f>Annual_Summary!E10+Annual_Summary!E11+Annual_Summary!E12+Annual_Summary!E13+Annual_Summary!E14+Annual_Summary!E15+Annual_Summary!E18</f>
        <v/>
      </c>
      <c r="F14" s="139">
        <f>Annual_Summary!F10+Annual_Summary!F11+Annual_Summary!F12+Annual_Summary!F13+Annual_Summary!F14+Annual_Summary!F15+Annual_Summary!F18</f>
        <v/>
      </c>
      <c r="G14" s="139">
        <f>Annual_Summary!G10+Annual_Summary!G11+Annual_Summary!G12+Annual_Summary!G13+Annual_Summary!G14+Annual_Summary!G15+Annual_Summary!G18</f>
        <v/>
      </c>
    </row>
    <row r="15" ht="15" customHeight="1" s="82">
      <c r="B15" s="137" t="inlineStr">
        <is>
          <t>Gross Profit</t>
        </is>
      </c>
      <c r="C15" s="139">
        <f>Annual_Summary!C8-C14</f>
        <v/>
      </c>
      <c r="D15" s="139">
        <f>Annual_Summary!D8-D14</f>
        <v/>
      </c>
      <c r="E15" s="139">
        <f>Annual_Summary!E8-E14</f>
        <v/>
      </c>
      <c r="F15" s="139">
        <f>Annual_Summary!F8-F14</f>
        <v/>
      </c>
      <c r="G15" s="139">
        <f>Annual_Summary!G8-G14</f>
        <v/>
      </c>
    </row>
    <row r="16" ht="15" customHeight="1" s="82">
      <c r="B16" s="144" t="inlineStr">
        <is>
          <t>(-) Administrative expenses</t>
        </is>
      </c>
      <c r="C16" s="140">
        <f>Annual_Summary!C16</f>
        <v/>
      </c>
      <c r="D16" s="140">
        <f>Annual_Summary!D16</f>
        <v/>
      </c>
      <c r="E16" s="140">
        <f>Annual_Summary!E16</f>
        <v/>
      </c>
      <c r="F16" s="140">
        <f>Annual_Summary!F16</f>
        <v/>
      </c>
      <c r="G16" s="140">
        <f>Annual_Summary!G16</f>
        <v/>
      </c>
    </row>
    <row r="17" ht="15" customHeight="1" s="82">
      <c r="B17" s="144" t="inlineStr">
        <is>
          <t>(-) Selling &amp; distribution</t>
        </is>
      </c>
      <c r="C17" s="140">
        <f>Annual_Summary!C17</f>
        <v/>
      </c>
      <c r="D17" s="140">
        <f>Annual_Summary!D17</f>
        <v/>
      </c>
      <c r="E17" s="140">
        <f>Annual_Summary!E17</f>
        <v/>
      </c>
      <c r="F17" s="140">
        <f>Annual_Summary!F17</f>
        <v/>
      </c>
      <c r="G17" s="140">
        <f>Annual_Summary!G17</f>
        <v/>
      </c>
    </row>
    <row r="18" ht="15" customHeight="1" s="82">
      <c r="B18" s="137" t="inlineStr">
        <is>
          <t>Operating Profit (EBIT)</t>
        </is>
      </c>
      <c r="C18" s="139">
        <f>C15-Annual_Summary!C16-Annual_Summary!C17</f>
        <v/>
      </c>
      <c r="D18" s="139">
        <f>D15-Annual_Summary!D16-Annual_Summary!D17</f>
        <v/>
      </c>
      <c r="E18" s="139">
        <f>E15-Annual_Summary!E16-Annual_Summary!E17</f>
        <v/>
      </c>
      <c r="F18" s="139">
        <f>F15-Annual_Summary!F16-Annual_Summary!F17</f>
        <v/>
      </c>
      <c r="G18" s="139">
        <f>G15-Annual_Summary!G16-Annual_Summary!G17</f>
        <v/>
      </c>
    </row>
    <row r="19" ht="15" customHeight="1" s="82">
      <c r="B19" s="144" t="inlineStr">
        <is>
          <t>(-) Interest — Term Loan</t>
        </is>
      </c>
      <c r="C19" s="140">
        <f>Annual_Summary!C19</f>
        <v/>
      </c>
      <c r="D19" s="140">
        <f>Annual_Summary!D19</f>
        <v/>
      </c>
      <c r="E19" s="140">
        <f>Annual_Summary!E19</f>
        <v/>
      </c>
      <c r="F19" s="140">
        <f>Annual_Summary!F19</f>
        <v/>
      </c>
      <c r="G19" s="140">
        <f>Annual_Summary!G19</f>
        <v/>
      </c>
    </row>
    <row r="20" ht="15" customHeight="1" s="82">
      <c r="B20" s="144" t="inlineStr">
        <is>
          <t>(-) Interest — Working Capital</t>
        </is>
      </c>
      <c r="C20" s="140">
        <f>Annual_Summary!C20</f>
        <v/>
      </c>
      <c r="D20" s="140">
        <f>Annual_Summary!D20</f>
        <v/>
      </c>
      <c r="E20" s="140">
        <f>Annual_Summary!E20</f>
        <v/>
      </c>
      <c r="F20" s="140">
        <f>Annual_Summary!F20</f>
        <v/>
      </c>
      <c r="G20" s="140">
        <f>Annual_Summary!G20</f>
        <v/>
      </c>
    </row>
    <row r="21" ht="15" customHeight="1" s="82">
      <c r="B21" s="137" t="inlineStr">
        <is>
          <t>Profit Before Tax</t>
        </is>
      </c>
      <c r="C21" s="139">
        <f>C18-Annual_Summary!C19-Annual_Summary!C20</f>
        <v/>
      </c>
      <c r="D21" s="139">
        <f>D18-Annual_Summary!D19-Annual_Summary!D20</f>
        <v/>
      </c>
      <c r="E21" s="139">
        <f>E18-Annual_Summary!E19-Annual_Summary!E20</f>
        <v/>
      </c>
      <c r="F21" s="139">
        <f>F18-Annual_Summary!F19-Annual_Summary!F20</f>
        <v/>
      </c>
      <c r="G21" s="139">
        <f>G18-Annual_Summary!G19-Annual_Summary!G20</f>
        <v/>
      </c>
    </row>
    <row r="22" ht="15" customHeight="1" s="82">
      <c r="B22" s="144" t="inlineStr">
        <is>
          <t>(-) Provision for Tax</t>
        </is>
      </c>
      <c r="C22" s="140">
        <f>Annual_Summary!C25</f>
        <v/>
      </c>
      <c r="D22" s="140">
        <f>Annual_Summary!D25</f>
        <v/>
      </c>
      <c r="E22" s="140">
        <f>Annual_Summary!E25</f>
        <v/>
      </c>
      <c r="F22" s="140">
        <f>Annual_Summary!F25</f>
        <v/>
      </c>
      <c r="G22" s="140">
        <f>Annual_Summary!G25</f>
        <v/>
      </c>
    </row>
    <row r="23" ht="15" customHeight="1" s="82">
      <c r="B23" s="137" t="inlineStr">
        <is>
          <t>Profit After Tax</t>
        </is>
      </c>
      <c r="C23" s="139">
        <f>C21-Annual_Summary!C25</f>
        <v/>
      </c>
      <c r="D23" s="139">
        <f>D21-Annual_Summary!D25</f>
        <v/>
      </c>
      <c r="E23" s="139">
        <f>E21-Annual_Summary!E25</f>
        <v/>
      </c>
      <c r="F23" s="139">
        <f>F21-Annual_Summary!F25</f>
        <v/>
      </c>
      <c r="G23" s="139">
        <f>G21-Annual_Summary!G25</f>
        <v/>
      </c>
    </row>
  </sheetData>
  <mergeCells count="3">
    <mergeCell ref="B6:H6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III  —  PROJECTED BALANCE SHEET</t>
        </is>
      </c>
    </row>
    <row r="2" ht="15" customHeight="1" s="82">
      <c r="A2" s="114" t="inlineStr">
        <is>
          <t>Sources &amp; application of funds; cash is the balancing figure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LIABILITIES  (₹)</t>
        </is>
      </c>
    </row>
    <row r="6" ht="15" customHeight="1" s="82">
      <c r="B6" s="144" t="inlineStr">
        <is>
          <t>Capital / Promoters' equity</t>
        </is>
      </c>
      <c r="C6" s="140">
        <f>Assumptions!$C$9</f>
        <v/>
      </c>
      <c r="D6" s="140">
        <f>Assumptions!$C$9</f>
        <v/>
      </c>
      <c r="E6" s="140">
        <f>Assumptions!$C$9</f>
        <v/>
      </c>
      <c r="F6" s="140">
        <f>Assumptions!$C$9</f>
        <v/>
      </c>
      <c r="G6" s="140">
        <f>Assumptions!$C$9</f>
        <v/>
      </c>
    </row>
    <row r="7" ht="15" customHeight="1" s="82">
      <c r="B7" s="144" t="inlineStr">
        <is>
          <t>Reserves &amp; surplus (accumulated PAT)</t>
        </is>
      </c>
      <c r="C7" s="140">
        <f>Annual_Summary!C26</f>
        <v/>
      </c>
      <c r="D7" s="140">
        <f>C7+Annual_Summary!D26</f>
        <v/>
      </c>
      <c r="E7" s="140">
        <f>D7+Annual_Summary!E26</f>
        <v/>
      </c>
      <c r="F7" s="140">
        <f>E7+Annual_Summary!F26</f>
        <v/>
      </c>
      <c r="G7" s="140">
        <f>F7+Annual_Summary!G26</f>
        <v/>
      </c>
    </row>
    <row r="8" ht="15" customHeight="1" s="82">
      <c r="B8" s="137" t="inlineStr">
        <is>
          <t>Net Worth</t>
        </is>
      </c>
      <c r="C8" s="139">
        <f>C6+C7</f>
        <v/>
      </c>
      <c r="D8" s="139">
        <f>D6+D7</f>
        <v/>
      </c>
      <c r="E8" s="139">
        <f>E6+E7</f>
        <v/>
      </c>
      <c r="F8" s="139">
        <f>F6+F7</f>
        <v/>
      </c>
      <c r="G8" s="139">
        <f>G6+G7</f>
        <v/>
      </c>
    </row>
    <row r="9" ht="15" customHeight="1" s="82">
      <c r="B9" s="144" t="inlineStr">
        <is>
          <t>Term loan (closing balance)</t>
        </is>
      </c>
      <c r="C9" s="140">
        <f>Repayment!C8+'Existing Loan'!C16</f>
        <v/>
      </c>
      <c r="D9" s="140">
        <f>Repayment!D8+'Existing Loan'!D16</f>
        <v/>
      </c>
      <c r="E9" s="140">
        <f>Repayment!E8+'Existing Loan'!E16</f>
        <v/>
      </c>
      <c r="F9" s="140">
        <f>Repayment!F8+'Existing Loan'!F16</f>
        <v/>
      </c>
      <c r="G9" s="140">
        <f>Repayment!G8+'Existing Loan'!G16</f>
        <v/>
      </c>
    </row>
    <row r="10" ht="15" customHeight="1" s="82">
      <c r="B10" s="144" t="inlineStr">
        <is>
          <t>Bank borrowing — working capital</t>
        </is>
      </c>
      <c r="C10" s="140">
        <f>Form_V_MPBF!C11</f>
        <v/>
      </c>
      <c r="D10" s="140">
        <f>Form_V_MPBF!D11</f>
        <v/>
      </c>
      <c r="E10" s="140">
        <f>Form_V_MPBF!E11</f>
        <v/>
      </c>
      <c r="F10" s="140">
        <f>Form_V_MPBF!F11</f>
        <v/>
      </c>
      <c r="G10" s="140">
        <f>Form_V_MPBF!G11</f>
        <v/>
      </c>
    </row>
    <row r="11" ht="15" customHeight="1" s="82">
      <c r="B11" s="144" t="inlineStr">
        <is>
          <t>Sundry creditors</t>
        </is>
      </c>
      <c r="C11" s="140">
        <f>Form_IV_CA_CL!C16</f>
        <v/>
      </c>
      <c r="D11" s="140">
        <f>Form_IV_CA_CL!D16</f>
        <v/>
      </c>
      <c r="E11" s="140">
        <f>Form_IV_CA_CL!E16</f>
        <v/>
      </c>
      <c r="F11" s="140">
        <f>Form_IV_CA_CL!F16</f>
        <v/>
      </c>
      <c r="G11" s="140">
        <f>Form_IV_CA_CL!G16</f>
        <v/>
      </c>
    </row>
    <row r="12" ht="15" customHeight="1" s="82">
      <c r="B12" s="144" t="inlineStr">
        <is>
          <t>Other current liabilities / provisions</t>
        </is>
      </c>
      <c r="C12" s="140">
        <f>Form_IV_CA_CL!C17</f>
        <v/>
      </c>
      <c r="D12" s="140">
        <f>Form_IV_CA_CL!D17</f>
        <v/>
      </c>
      <c r="E12" s="140">
        <f>Form_IV_CA_CL!E17</f>
        <v/>
      </c>
      <c r="F12" s="140">
        <f>Form_IV_CA_CL!F17</f>
        <v/>
      </c>
      <c r="G12" s="140">
        <f>Form_IV_CA_CL!G17</f>
        <v/>
      </c>
    </row>
    <row r="13" ht="15" customHeight="1" s="82">
      <c r="B13" s="137" t="inlineStr">
        <is>
          <t>TOTAL LIABILITIES</t>
        </is>
      </c>
      <c r="C13" s="139">
        <f>SUM(C8:C12)</f>
        <v/>
      </c>
      <c r="D13" s="139">
        <f>SUM(D8:D12)</f>
        <v/>
      </c>
      <c r="E13" s="139">
        <f>SUM(E8:E12)</f>
        <v/>
      </c>
      <c r="F13" s="139">
        <f>SUM(F8:F12)</f>
        <v/>
      </c>
      <c r="G13" s="139">
        <f>SUM(G8:G12)</f>
        <v/>
      </c>
    </row>
    <row r="14" ht="16.5" customHeight="1" s="82">
      <c r="B14" s="146" t="inlineStr">
        <is>
          <t>ASSETS  (₹)</t>
        </is>
      </c>
    </row>
    <row r="15" ht="15" customHeight="1" s="82">
      <c r="B15" s="144" t="inlineStr">
        <is>
          <t>Gross fixed assets</t>
        </is>
      </c>
      <c r="C15" s="143">
        <f>Assumptions!$C$42+Assumptions!$C$43+Assumptions!$C$45+Assumptions!$C$47</f>
        <v/>
      </c>
      <c r="D15" s="143">
        <f>Assumptions!$C$42+Assumptions!$C$43+Assumptions!$C$45+Assumptions!$C$47</f>
        <v/>
      </c>
      <c r="E15" s="143">
        <f>Assumptions!$C$42+Assumptions!$C$43+Assumptions!$C$45+Assumptions!$C$47</f>
        <v/>
      </c>
      <c r="F15" s="143">
        <f>Assumptions!$C$42+Assumptions!$C$43+Assumptions!$C$45+Assumptions!$C$47</f>
        <v/>
      </c>
      <c r="G15" s="143">
        <f>Assumptions!$C$42+Assumptions!$C$43+Assumptions!$C$45+Assumptions!$C$47</f>
        <v/>
      </c>
    </row>
    <row r="16" ht="15" customHeight="1" s="82">
      <c r="B16" s="144" t="inlineStr">
        <is>
          <t>(-) Accumulated depreciation</t>
        </is>
      </c>
      <c r="C16" s="140">
        <f>Annual_Summary!C18</f>
        <v/>
      </c>
      <c r="D16" s="140">
        <f>C16+Annual_Summary!D18</f>
        <v/>
      </c>
      <c r="E16" s="140">
        <f>D16+Annual_Summary!E18</f>
        <v/>
      </c>
      <c r="F16" s="140">
        <f>E16+Annual_Summary!F18</f>
        <v/>
      </c>
      <c r="G16" s="140">
        <f>F16+Annual_Summary!G18</f>
        <v/>
      </c>
    </row>
    <row r="17" ht="15" customHeight="1" s="82">
      <c r="B17" s="137" t="inlineStr">
        <is>
          <t>Net fixed assets</t>
        </is>
      </c>
      <c r="C17" s="139">
        <f>C15-C16</f>
        <v/>
      </c>
      <c r="D17" s="139">
        <f>D15-D16</f>
        <v/>
      </c>
      <c r="E17" s="139">
        <f>E15-E16</f>
        <v/>
      </c>
      <c r="F17" s="139">
        <f>F15-F16</f>
        <v/>
      </c>
      <c r="G17" s="139">
        <f>G15-G16</f>
        <v/>
      </c>
    </row>
    <row r="18" ht="15" customHeight="1" s="82">
      <c r="B18" s="144" t="inlineStr">
        <is>
          <t>Inventory</t>
        </is>
      </c>
      <c r="C18" s="140">
        <f>Form_IV_CA_CL!C10+Form_IV_CA_CL!C11</f>
        <v/>
      </c>
      <c r="D18" s="140">
        <f>Form_IV_CA_CL!D10+Form_IV_CA_CL!D11</f>
        <v/>
      </c>
      <c r="E18" s="140">
        <f>Form_IV_CA_CL!E10+Form_IV_CA_CL!E11</f>
        <v/>
      </c>
      <c r="F18" s="140">
        <f>Form_IV_CA_CL!F10+Form_IV_CA_CL!F11</f>
        <v/>
      </c>
      <c r="G18" s="140">
        <f>Form_IV_CA_CL!G10+Form_IV_CA_CL!G11</f>
        <v/>
      </c>
    </row>
    <row r="19" ht="15" customHeight="1" s="82">
      <c r="B19" s="144" t="inlineStr">
        <is>
          <t>Sundry debtors / receivables</t>
        </is>
      </c>
      <c r="C19" s="140">
        <f>Form_IV_CA_CL!C12</f>
        <v/>
      </c>
      <c r="D19" s="140">
        <f>Form_IV_CA_CL!D12</f>
        <v/>
      </c>
      <c r="E19" s="140">
        <f>Form_IV_CA_CL!E12</f>
        <v/>
      </c>
      <c r="F19" s="140">
        <f>Form_IV_CA_CL!F12</f>
        <v/>
      </c>
      <c r="G19" s="140">
        <f>Form_IV_CA_CL!G12</f>
        <v/>
      </c>
    </row>
    <row r="20" ht="15" customHeight="1" s="82">
      <c r="B20" s="144" t="inlineStr">
        <is>
          <t>Cash &amp; bank (balancing figure)</t>
        </is>
      </c>
      <c r="C20" s="143">
        <f>C13-(C17+C18+C19)</f>
        <v/>
      </c>
      <c r="D20" s="143">
        <f>D13-(D17+D18+D19)</f>
        <v/>
      </c>
      <c r="E20" s="143">
        <f>E13-(E17+E18+E19)</f>
        <v/>
      </c>
      <c r="F20" s="143">
        <f>F13-(F17+F18+F19)</f>
        <v/>
      </c>
      <c r="G20" s="143">
        <f>G13-(G17+G18+G19)</f>
        <v/>
      </c>
    </row>
    <row r="21" ht="15" customHeight="1" s="82">
      <c r="B21" s="137" t="inlineStr">
        <is>
          <t>TOTAL ASSETS</t>
        </is>
      </c>
      <c r="C21" s="139">
        <f>C17+C18+C19+C20</f>
        <v/>
      </c>
      <c r="D21" s="139">
        <f>D17+D18+D19+D20</f>
        <v/>
      </c>
      <c r="E21" s="139">
        <f>E17+E18+E19+E20</f>
        <v/>
      </c>
      <c r="F21" s="139">
        <f>F17+F18+F19+F20</f>
        <v/>
      </c>
      <c r="G21" s="139">
        <f>G17+G18+G19+G20</f>
        <v/>
      </c>
    </row>
    <row r="22" ht="15" customHeight="1" s="82">
      <c r="B22" s="88" t="inlineStr">
        <is>
          <t>Check  (Liabilities − Assets = 0)</t>
        </is>
      </c>
      <c r="C22" s="143">
        <f>C13-C21</f>
        <v/>
      </c>
      <c r="D22" s="143">
        <f>D13-D21</f>
        <v/>
      </c>
      <c r="E22" s="143">
        <f>E13-E21</f>
        <v/>
      </c>
      <c r="F22" s="143">
        <f>F13-F21</f>
        <v/>
      </c>
      <c r="G22" s="143">
        <f>G13-G21</f>
        <v/>
      </c>
    </row>
  </sheetData>
  <mergeCells count="4">
    <mergeCell ref="B14:H14"/>
    <mergeCell ref="B5:H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IV  —  CURRENT ASSETS &amp; CURRENT LIABILITIES</t>
        </is>
      </c>
    </row>
    <row r="2" ht="15" customHeight="1" s="82">
      <c r="A2" s="114" t="inlineStr">
        <is>
          <t>Build-up of working-capital requirement from holding-period assumptions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OPERATING BASIS</t>
        </is>
      </c>
    </row>
    <row r="6" ht="15" customHeight="1" s="82">
      <c r="B6" s="88" t="inlineStr">
        <is>
          <t>Cost of Production</t>
        </is>
      </c>
      <c r="C6" s="140">
        <f>Annual_Summary!C10+Annual_Summary!C11+Annual_Summary!C12+Annual_Summary!C13+Annual_Summary!C14+Annual_Summary!C15+Annual_Summary!C18</f>
        <v/>
      </c>
      <c r="D6" s="140">
        <f>Annual_Summary!D10+Annual_Summary!D11+Annual_Summary!D12+Annual_Summary!D13+Annual_Summary!D14+Annual_Summary!D15+Annual_Summary!D18</f>
        <v/>
      </c>
      <c r="E6" s="140">
        <f>Annual_Summary!E10+Annual_Summary!E11+Annual_Summary!E12+Annual_Summary!E13+Annual_Summary!E14+Annual_Summary!E15+Annual_Summary!E18</f>
        <v/>
      </c>
      <c r="F6" s="140">
        <f>Annual_Summary!F10+Annual_Summary!F11+Annual_Summary!F12+Annual_Summary!F13+Annual_Summary!F14+Annual_Summary!F15+Annual_Summary!F18</f>
        <v/>
      </c>
      <c r="G6" s="140">
        <f>Annual_Summary!G10+Annual_Summary!G11+Annual_Summary!G12+Annual_Summary!G13+Annual_Summary!G14+Annual_Summary!G15+Annual_Summary!G18</f>
        <v/>
      </c>
    </row>
    <row r="7" ht="15" customHeight="1" s="82">
      <c r="B7" s="88" t="inlineStr">
        <is>
          <t>Purchases (raw material)</t>
        </is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88" t="inlineStr">
        <is>
          <t>Net Sales</t>
        </is>
      </c>
      <c r="C8" s="140">
        <f>Annual_Summary!C8</f>
        <v/>
      </c>
      <c r="D8" s="140">
        <f>Annual_Summary!D8</f>
        <v/>
      </c>
      <c r="E8" s="140">
        <f>Annual_Summary!E8</f>
        <v/>
      </c>
      <c r="F8" s="140">
        <f>Annual_Summary!F8</f>
        <v/>
      </c>
      <c r="G8" s="140">
        <f>Annual_Summary!G8</f>
        <v/>
      </c>
    </row>
    <row r="9" ht="16.5" customHeight="1" s="82">
      <c r="B9" s="146" t="inlineStr">
        <is>
          <t>CURRENT ASSETS (₹)</t>
        </is>
      </c>
    </row>
    <row r="10" ht="15" customHeight="1" s="82">
      <c r="B10" s="144" t="inlineStr">
        <is>
          <t>Inventory — Raw material</t>
        </is>
      </c>
      <c r="C10" s="143">
        <f>C7*Assumptions!$C$50/365</f>
        <v/>
      </c>
      <c r="D10" s="143">
        <f>D7*Assumptions!$C$50/365</f>
        <v/>
      </c>
      <c r="E10" s="143">
        <f>E7*Assumptions!$C$50/365</f>
        <v/>
      </c>
      <c r="F10" s="143">
        <f>F7*Assumptions!$C$50/365</f>
        <v/>
      </c>
      <c r="G10" s="143">
        <f>G7*Assumptions!$C$50/365</f>
        <v/>
      </c>
    </row>
    <row r="11" ht="15" customHeight="1" s="82">
      <c r="B11" s="144" t="inlineStr">
        <is>
          <t>Inventory — Finished goods</t>
        </is>
      </c>
      <c r="C11" s="143">
        <f>C6*Assumptions!$C$51/365</f>
        <v/>
      </c>
      <c r="D11" s="143">
        <f>D6*Assumptions!$C$51/365</f>
        <v/>
      </c>
      <c r="E11" s="143">
        <f>E6*Assumptions!$C$51/365</f>
        <v/>
      </c>
      <c r="F11" s="143">
        <f>F6*Assumptions!$C$51/365</f>
        <v/>
      </c>
      <c r="G11" s="143">
        <f>G6*Assumptions!$C$51/365</f>
        <v/>
      </c>
    </row>
    <row r="12" ht="15" customHeight="1" s="82">
      <c r="B12" s="144" t="inlineStr">
        <is>
          <t>Sundry debtors / receivables</t>
        </is>
      </c>
      <c r="C12" s="143">
        <f>C8*Assumptions!$C$52/365</f>
        <v/>
      </c>
      <c r="D12" s="143">
        <f>D8*Assumptions!$C$52/365</f>
        <v/>
      </c>
      <c r="E12" s="143">
        <f>E8*Assumptions!$C$52/365</f>
        <v/>
      </c>
      <c r="F12" s="143">
        <f>F8*Assumptions!$C$52/365</f>
        <v/>
      </c>
      <c r="G12" s="143">
        <f>G8*Assumptions!$C$52/365</f>
        <v/>
      </c>
    </row>
    <row r="13" ht="15" customHeight="1" s="82">
      <c r="B13" s="144" t="inlineStr">
        <is>
          <t>Cash &amp; bank (minimum)</t>
        </is>
      </c>
      <c r="C13" s="140">
        <f>Assumptions!$C$54</f>
        <v/>
      </c>
      <c r="D13" s="140">
        <f>Assumptions!$C$54</f>
        <v/>
      </c>
      <c r="E13" s="140">
        <f>Assumptions!$C$54</f>
        <v/>
      </c>
      <c r="F13" s="140">
        <f>Assumptions!$C$54</f>
        <v/>
      </c>
      <c r="G13" s="140">
        <f>Assumptions!$C$54</f>
        <v/>
      </c>
    </row>
    <row r="14" ht="15" customHeight="1" s="82">
      <c r="B14" s="137" t="inlineStr">
        <is>
          <t>Total Current Assets</t>
        </is>
      </c>
      <c r="C14" s="139">
        <f>SUM(C10:C13)</f>
        <v/>
      </c>
      <c r="D14" s="139">
        <f>SUM(D10:D13)</f>
        <v/>
      </c>
      <c r="E14" s="139">
        <f>SUM(E10:E13)</f>
        <v/>
      </c>
      <c r="F14" s="139">
        <f>SUM(F10:F13)</f>
        <v/>
      </c>
      <c r="G14" s="139">
        <f>SUM(G10:G13)</f>
        <v/>
      </c>
    </row>
    <row r="15" ht="16.5" customHeight="1" s="82">
      <c r="B15" s="146" t="inlineStr">
        <is>
          <t>CURRENT LIABILITIES  (other than bank finance) (₹)</t>
        </is>
      </c>
    </row>
    <row r="16" ht="15" customHeight="1" s="82">
      <c r="B16" s="144" t="inlineStr">
        <is>
          <t>Sundry creditors / payables</t>
        </is>
      </c>
      <c r="C16" s="143">
        <f>C7*Assumptions!$C$53/365</f>
        <v/>
      </c>
      <c r="D16" s="143">
        <f>D7*Assumptions!$C$53/365</f>
        <v/>
      </c>
      <c r="E16" s="143">
        <f>E7*Assumptions!$C$53/365</f>
        <v/>
      </c>
      <c r="F16" s="143">
        <f>F7*Assumptions!$C$53/365</f>
        <v/>
      </c>
      <c r="G16" s="143">
        <f>G7*Assumptions!$C$53/365</f>
        <v/>
      </c>
    </row>
    <row r="17" ht="15" customHeight="1" s="82">
      <c r="B17" s="144" t="inlineStr">
        <is>
          <t>Other current liabilities / provisions</t>
        </is>
      </c>
      <c r="C17" s="143">
        <f>0</f>
        <v/>
      </c>
      <c r="D17" s="143">
        <f>0</f>
        <v/>
      </c>
      <c r="E17" s="143">
        <f>0</f>
        <v/>
      </c>
      <c r="F17" s="143">
        <f>0</f>
        <v/>
      </c>
      <c r="G17" s="143">
        <f>0</f>
        <v/>
      </c>
    </row>
    <row r="18" ht="15" customHeight="1" s="82">
      <c r="B18" s="137" t="inlineStr">
        <is>
          <t>Total Current Liabilities (excl. bank)</t>
        </is>
      </c>
      <c r="C18" s="139">
        <f>C16+C17</f>
        <v/>
      </c>
      <c r="D18" s="139">
        <f>D16+D17</f>
        <v/>
      </c>
      <c r="E18" s="139">
        <f>E16+E17</f>
        <v/>
      </c>
      <c r="F18" s="139">
        <f>F16+F17</f>
        <v/>
      </c>
      <c r="G18" s="139">
        <f>G16+G17</f>
        <v/>
      </c>
    </row>
    <row r="19" ht="15" customHeight="1" s="82">
      <c r="B19" s="137" t="inlineStr">
        <is>
          <t>Working Capital Gap  (TCA − TCL)</t>
        </is>
      </c>
      <c r="C19" s="139">
        <f>C14-C18</f>
        <v/>
      </c>
      <c r="D19" s="139">
        <f>D14-D18</f>
        <v/>
      </c>
      <c r="E19" s="139">
        <f>E14-E18</f>
        <v/>
      </c>
      <c r="F19" s="139">
        <f>F14-F18</f>
        <v/>
      </c>
      <c r="G19" s="139">
        <f>G14-G18</f>
        <v/>
      </c>
    </row>
  </sheetData>
  <mergeCells count="5">
    <mergeCell ref="B9:H9"/>
    <mergeCell ref="A2:H2"/>
    <mergeCell ref="B15:H15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  —  MAXIMUM PERMISSIBLE BANK FINANCE</t>
        </is>
      </c>
    </row>
    <row r="2" ht="15" customHeight="1" s="82">
      <c r="A2" s="114" t="inlineStr">
        <is>
          <t>MPBF computed on the Tandon methodology; Method II drives the working-capital limit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Total Current Assets</t>
        </is>
      </c>
      <c r="C5" s="147">
        <f>Form_IV_CA_CL!C14</f>
        <v/>
      </c>
      <c r="D5" s="147">
        <f>Form_IV_CA_CL!D14</f>
        <v/>
      </c>
      <c r="E5" s="147">
        <f>Form_IV_CA_CL!E14</f>
        <v/>
      </c>
      <c r="F5" s="147">
        <f>Form_IV_CA_CL!F14</f>
        <v/>
      </c>
      <c r="G5" s="147">
        <f>Form_IV_CA_CL!G14</f>
        <v/>
      </c>
    </row>
    <row r="6" ht="15" customHeight="1" s="82">
      <c r="B6" s="88" t="inlineStr">
        <is>
          <t>Current Liabilities (other than bank)</t>
        </is>
      </c>
      <c r="C6" s="140">
        <f>Form_IV_CA_CL!C18</f>
        <v/>
      </c>
      <c r="D6" s="140">
        <f>Form_IV_CA_CL!D18</f>
        <v/>
      </c>
      <c r="E6" s="140">
        <f>Form_IV_CA_CL!E18</f>
        <v/>
      </c>
      <c r="F6" s="140">
        <f>Form_IV_CA_CL!F18</f>
        <v/>
      </c>
      <c r="G6" s="140">
        <f>Form_IV_CA_CL!G18</f>
        <v/>
      </c>
    </row>
    <row r="7" ht="15" customHeight="1" s="82">
      <c r="B7" s="137" t="inlineStr">
        <is>
          <t>Working Capital Gap (WCG)</t>
        </is>
      </c>
      <c r="C7" s="139">
        <f>Form_IV_CA_CL!C19</f>
        <v/>
      </c>
      <c r="D7" s="139">
        <f>Form_IV_CA_CL!D19</f>
        <v/>
      </c>
      <c r="E7" s="139">
        <f>Form_IV_CA_CL!E19</f>
        <v/>
      </c>
      <c r="F7" s="139">
        <f>Form_IV_CA_CL!F19</f>
        <v/>
      </c>
      <c r="G7" s="139">
        <f>Form_IV_CA_CL!G19</f>
        <v/>
      </c>
    </row>
    <row r="8" ht="15" customHeight="1" s="82">
      <c r="B8" s="88" t="inlineStr">
        <is>
          <t>Min. stipulated NWC  (margin × CA)</t>
        </is>
      </c>
      <c r="C8" s="143">
        <f>Assumptions!$C$55*Form_IV_CA_CL!C14</f>
        <v/>
      </c>
      <c r="D8" s="143">
        <f>Assumptions!$C$55*Form_IV_CA_CL!D14</f>
        <v/>
      </c>
      <c r="E8" s="143">
        <f>Assumptions!$C$55*Form_IV_CA_CL!E14</f>
        <v/>
      </c>
      <c r="F8" s="143">
        <f>Assumptions!$C$55*Form_IV_CA_CL!F14</f>
        <v/>
      </c>
      <c r="G8" s="143">
        <f>Assumptions!$C$55*Form_IV_CA_CL!G14</f>
        <v/>
      </c>
    </row>
    <row r="9" ht="15" customHeight="1" s="82">
      <c r="B9" s="88" t="inlineStr">
        <is>
          <t>MPBF — Method I  (WCG − margin)</t>
        </is>
      </c>
      <c r="C9" s="143">
        <f>MAX(0,Form_IV_CA_CL!C19*(1-Assumptions!$C$55))</f>
        <v/>
      </c>
      <c r="D9" s="143">
        <f>MAX(0,Form_IV_CA_CL!D19*(1-Assumptions!$C$55))</f>
        <v/>
      </c>
      <c r="E9" s="143">
        <f>MAX(0,Form_IV_CA_CL!E19*(1-Assumptions!$C$55))</f>
        <v/>
      </c>
      <c r="F9" s="143">
        <f>MAX(0,Form_IV_CA_CL!F19*(1-Assumptions!$C$55))</f>
        <v/>
      </c>
      <c r="G9" s="143">
        <f>MAX(0,Form_IV_CA_CL!G19*(1-Assumptions!$C$55))</f>
        <v/>
      </c>
    </row>
    <row r="10" ht="15" customHeight="1" s="82">
      <c r="B10" s="88" t="inlineStr">
        <is>
          <t>MPBF — Method II  (0.75·CA − CL)</t>
        </is>
      </c>
      <c r="C10" s="143">
        <f>MAX(0,Form_IV_CA_CL!C14*0.75-Form_IV_CA_CL!C18)</f>
        <v/>
      </c>
      <c r="D10" s="143">
        <f>MAX(0,Form_IV_CA_CL!D14*0.75-Form_IV_CA_CL!D18)</f>
        <v/>
      </c>
      <c r="E10" s="143">
        <f>MAX(0,Form_IV_CA_CL!E14*0.75-Form_IV_CA_CL!E18)</f>
        <v/>
      </c>
      <c r="F10" s="143">
        <f>MAX(0,Form_IV_CA_CL!F14*0.75-Form_IV_CA_CL!F18)</f>
        <v/>
      </c>
      <c r="G10" s="143">
        <f>MAX(0,Form_IV_CA_CL!G14*0.75-Form_IV_CA_CL!G18)</f>
        <v/>
      </c>
    </row>
    <row r="11" ht="15" customHeight="1" s="82">
      <c r="B11" s="137" t="inlineStr">
        <is>
          <t>Recommended MPBF (Method II, net of surplus cash)</t>
        </is>
      </c>
      <c r="C11" s="139">
        <f>MAX(0,C10-C13)</f>
        <v/>
      </c>
      <c r="D11" s="139">
        <f>MAX(0,D10-D13)</f>
        <v/>
      </c>
      <c r="E11" s="139">
        <f>MAX(0,E10-E13)</f>
        <v/>
      </c>
      <c r="F11" s="139">
        <f>MAX(0,F10-F13)</f>
        <v/>
      </c>
      <c r="G11" s="139">
        <f>MAX(0,G10-G13)</f>
        <v/>
      </c>
    </row>
    <row r="12">
      <c r="B12" s="81" t="inlineStr">
        <is>
          <t>Cumulative free cash generated (before WC draw)</t>
        </is>
      </c>
      <c r="C12" s="81">
        <f>Annual_Summary!C27-(Assumptions!$C$42+Assumptions!$C$43+Assumptions!$C$45+Assumptions!$C$47)-(Repayment!C7+'Existing Loan'!C15)</f>
        <v/>
      </c>
      <c r="D12" s="81">
        <f>C12+Annual_Summary!D27-(Repayment!D7+'Existing Loan'!D15)</f>
        <v/>
      </c>
      <c r="E12" s="81">
        <f>D12+Annual_Summary!E27-(Repayment!E7+'Existing Loan'!E15)</f>
        <v/>
      </c>
      <c r="F12" s="81">
        <f>E12+Annual_Summary!F27-(Repayment!F7+'Existing Loan'!F15)</f>
        <v/>
      </c>
      <c r="G12" s="81">
        <f>F12+Annual_Summary!G27-(Repayment!G7+'Existing Loan'!G15)</f>
        <v/>
      </c>
    </row>
    <row r="13">
      <c r="B13" s="81" t="inlineStr">
        <is>
          <t>Available surplus carried in from prior years (over min. cash buffer)</t>
        </is>
      </c>
      <c r="C13" s="81" t="n">
        <v>0</v>
      </c>
      <c r="D13" s="81">
        <f>MAX(0,C12-Assumptions!$C$54)</f>
        <v/>
      </c>
      <c r="E13" s="81">
        <f>MAX(0,D12-Assumptions!$C$54)</f>
        <v/>
      </c>
      <c r="F13" s="81">
        <f>MAX(0,E12-Assumptions!$C$54)</f>
        <v/>
      </c>
      <c r="G13" s="81">
        <f>MAX(0,F12-Assumptions!$C$54)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304" t="inlineStr">
        <is>
          <t>WORKING CAPITAL &amp; LOAN STRUCTURE  —  MPBF (Tandon) and the borrowing split</t>
        </is>
      </c>
    </row>
    <row r="2">
      <c r="A2" s="305" t="inlineStr">
        <is>
          <t>Assessed from this model's own current assets and liabilities. Section B splits the borrowing into term loan and working capital, year by year.</t>
        </is>
      </c>
    </row>
    <row r="3">
      <c r="A3" s="202" t="n"/>
      <c r="B3" s="202" t="n"/>
      <c r="C3" s="202" t="n"/>
    </row>
    <row r="4">
      <c r="A4" s="287" t="n"/>
      <c r="B4" s="264" t="inlineStr">
        <is>
          <t>Particulars</t>
        </is>
      </c>
      <c r="C4" s="265" t="inlineStr">
        <is>
          <t>Year 1</t>
        </is>
      </c>
      <c r="D4" s="265" t="inlineStr">
        <is>
          <t>Year 2</t>
        </is>
      </c>
      <c r="E4" s="265" t="inlineStr">
        <is>
          <t>Year 3</t>
        </is>
      </c>
      <c r="F4" s="265" t="inlineStr">
        <is>
          <t>Year 4</t>
        </is>
      </c>
      <c r="G4" s="265" t="inlineStr">
        <is>
          <t>Year 5</t>
        </is>
      </c>
    </row>
    <row r="5">
      <c r="A5" s="288" t="n"/>
      <c r="B5" s="289" t="inlineStr">
        <is>
          <t>A.   WORKING CAPITAL ASSESSMENT   (Tandon methodology)</t>
        </is>
      </c>
      <c r="C5" s="290" t="n"/>
      <c r="D5" s="275" t="n"/>
      <c r="E5" s="275" t="n"/>
      <c r="F5" s="275" t="n"/>
      <c r="G5" s="275" t="n"/>
    </row>
    <row r="6">
      <c r="A6" s="202" t="n"/>
      <c r="B6" s="291" t="inlineStr">
        <is>
          <t>Total Current Assets (TCA)</t>
        </is>
      </c>
      <c r="C6" s="292">
        <f>Form_IV_CA_CL!C14</f>
        <v/>
      </c>
      <c r="D6" s="268">
        <f>Form_IV_CA_CL!D14</f>
        <v/>
      </c>
      <c r="E6" s="268">
        <f>Form_IV_CA_CL!E14</f>
        <v/>
      </c>
      <c r="F6" s="268">
        <f>Form_IV_CA_CL!F14</f>
        <v/>
      </c>
      <c r="G6" s="268">
        <f>Form_IV_CA_CL!G14</f>
        <v/>
      </c>
    </row>
    <row r="7">
      <c r="A7" s="202" t="n"/>
      <c r="B7" s="291" t="inlineStr">
        <is>
          <t>Current Liabilities other than bank (TCL)</t>
        </is>
      </c>
      <c r="C7" s="292">
        <f>Form_IV_CA_CL!C18</f>
        <v/>
      </c>
      <c r="D7" s="268">
        <f>Form_IV_CA_CL!D18</f>
        <v/>
      </c>
      <c r="E7" s="268">
        <f>Form_IV_CA_CL!E18</f>
        <v/>
      </c>
      <c r="F7" s="268">
        <f>Form_IV_CA_CL!F18</f>
        <v/>
      </c>
      <c r="G7" s="268">
        <f>Form_IV_CA_CL!G18</f>
        <v/>
      </c>
    </row>
    <row r="8">
      <c r="A8" s="202" t="n"/>
      <c r="B8" s="293" t="inlineStr">
        <is>
          <t>Working Capital Gap  (TCA − TCL)</t>
        </is>
      </c>
      <c r="C8" s="294">
        <f>Form_IV_CA_CL!C19</f>
        <v/>
      </c>
      <c r="D8" s="271">
        <f>Form_IV_CA_CL!D19</f>
        <v/>
      </c>
      <c r="E8" s="271">
        <f>Form_IV_CA_CL!E19</f>
        <v/>
      </c>
      <c r="F8" s="271">
        <f>Form_IV_CA_CL!F19</f>
        <v/>
      </c>
      <c r="G8" s="271">
        <f>Form_IV_CA_CL!G19</f>
        <v/>
      </c>
    </row>
    <row r="9">
      <c r="A9" s="202" t="n"/>
      <c r="B9" s="291" t="inlineStr">
        <is>
          <t>Margin — borrower's stake (%)</t>
        </is>
      </c>
      <c r="C9" s="295">
        <f>Assumptions!$C$55</f>
        <v/>
      </c>
      <c r="D9" s="296">
        <f>Assumptions!$C$55</f>
        <v/>
      </c>
      <c r="E9" s="296">
        <f>Assumptions!$C$55</f>
        <v/>
      </c>
      <c r="F9" s="296">
        <f>Assumptions!$C$55</f>
        <v/>
      </c>
      <c r="G9" s="296">
        <f>Assumptions!$C$55</f>
        <v/>
      </c>
    </row>
    <row r="10">
      <c r="A10" s="202" t="n"/>
      <c r="B10" s="266" t="inlineStr">
        <is>
          <t>Min. stipulated NWC  (margin × TCA)</t>
        </is>
      </c>
      <c r="C10" s="268">
        <f>C9*C6</f>
        <v/>
      </c>
      <c r="D10" s="268">
        <f>D9*D6</f>
        <v/>
      </c>
      <c r="E10" s="268">
        <f>E9*E6</f>
        <v/>
      </c>
      <c r="F10" s="268">
        <f>F9*F6</f>
        <v/>
      </c>
      <c r="G10" s="268">
        <f>G9*G6</f>
        <v/>
      </c>
    </row>
    <row r="11">
      <c r="A11" s="287" t="n"/>
      <c r="B11" s="266" t="inlineStr">
        <is>
          <t>MPBF — Method I   (WCG × (1 − margin))</t>
        </is>
      </c>
      <c r="C11" s="268">
        <f>MAX(0,C8*(1-C9))</f>
        <v/>
      </c>
      <c r="D11" s="268">
        <f>MAX(0,D8*(1-D9))</f>
        <v/>
      </c>
      <c r="E11" s="268">
        <f>MAX(0,E8*(1-E9))</f>
        <v/>
      </c>
      <c r="F11" s="268">
        <f>MAX(0,F8*(1-F9))</f>
        <v/>
      </c>
      <c r="G11" s="268">
        <f>MAX(0,G8*(1-G9))</f>
        <v/>
      </c>
    </row>
    <row r="12">
      <c r="A12" s="202" t="n"/>
      <c r="B12" s="291" t="inlineStr">
        <is>
          <t>MPBF — Method II  (0.75·TCA − TCL)</t>
        </is>
      </c>
      <c r="C12" s="292">
        <f>MAX(0,C6*(1-C9)-C7)</f>
        <v/>
      </c>
      <c r="D12" s="268">
        <f>MAX(0,D6*(1-D9)-D7)</f>
        <v/>
      </c>
      <c r="E12" s="268">
        <f>MAX(0,E6*(1-E9)-E7)</f>
        <v/>
      </c>
      <c r="F12" s="268">
        <f>MAX(0,F6*(1-F9)-F7)</f>
        <v/>
      </c>
      <c r="G12" s="268">
        <f>MAX(0,G6*(1-G9)-G7)</f>
        <v/>
      </c>
    </row>
    <row r="13">
      <c r="A13" s="202" t="n"/>
      <c r="B13" s="297" t="inlineStr">
        <is>
          <t>RECOMMENDED CC / OD LIMIT  (Method II)</t>
        </is>
      </c>
      <c r="C13" s="298">
        <f>C12</f>
        <v/>
      </c>
      <c r="D13" s="273">
        <f>D12</f>
        <v/>
      </c>
      <c r="E13" s="273">
        <f>E12</f>
        <v/>
      </c>
      <c r="F13" s="273">
        <f>F12</f>
        <v/>
      </c>
      <c r="G13" s="273">
        <f>G12</f>
        <v/>
      </c>
    </row>
    <row r="14">
      <c r="A14" s="202" t="n"/>
      <c r="B14" s="299" t="n"/>
      <c r="C14" s="300" t="n"/>
    </row>
    <row r="15">
      <c r="A15" s="288" t="n"/>
      <c r="B15" s="301" t="inlineStr">
        <is>
          <t>B.   LOAN STRUCTURE   —   TERM LOAN  vs  WORKING CAPITAL</t>
        </is>
      </c>
      <c r="C15" s="288" t="n"/>
      <c r="D15" s="275" t="n"/>
      <c r="E15" s="275" t="n"/>
      <c r="F15" s="275" t="n"/>
      <c r="G15" s="275" t="n"/>
    </row>
    <row r="16">
      <c r="A16" s="287" t="n"/>
      <c r="B16" s="264" t="inlineStr">
        <is>
          <t>Particulars</t>
        </is>
      </c>
      <c r="C16" s="265" t="inlineStr">
        <is>
          <t>Year 1</t>
        </is>
      </c>
      <c r="D16" s="265" t="inlineStr">
        <is>
          <t>Year 2</t>
        </is>
      </c>
      <c r="E16" s="265" t="inlineStr">
        <is>
          <t>Year 3</t>
        </is>
      </c>
      <c r="F16" s="265" t="inlineStr">
        <is>
          <t>Year 4</t>
        </is>
      </c>
      <c r="G16" s="265" t="inlineStr">
        <is>
          <t>Year 5</t>
        </is>
      </c>
    </row>
    <row r="17">
      <c r="A17" s="202" t="n"/>
      <c r="B17" s="291" t="inlineStr">
        <is>
          <t>Term Loan — sanctioned</t>
        </is>
      </c>
      <c r="C17" s="292">
        <f>Assumptions!$C$8</f>
        <v/>
      </c>
      <c r="D17" s="268">
        <f>Assumptions!$C$8</f>
        <v/>
      </c>
      <c r="E17" s="268">
        <f>Assumptions!$C$8</f>
        <v/>
      </c>
      <c r="F17" s="268">
        <f>Assumptions!$C$8</f>
        <v/>
      </c>
      <c r="G17" s="268">
        <f>Assumptions!$C$8</f>
        <v/>
      </c>
    </row>
    <row r="18">
      <c r="A18" s="202" t="n"/>
      <c r="B18" s="266" t="inlineStr">
        <is>
          <t>Term Loan — opening balance</t>
        </is>
      </c>
      <c r="C18" s="268">
        <f>Repayment!C5</f>
        <v/>
      </c>
      <c r="D18" s="268">
        <f>Repayment!D5</f>
        <v/>
      </c>
      <c r="E18" s="268">
        <f>Repayment!E5</f>
        <v/>
      </c>
      <c r="F18" s="268">
        <f>Repayment!F5</f>
        <v/>
      </c>
      <c r="G18" s="268">
        <f>Repayment!G5</f>
        <v/>
      </c>
    </row>
    <row r="19">
      <c r="A19" s="287" t="n"/>
      <c r="B19" s="266" t="inlineStr">
        <is>
          <t>Term Loan — principal repaid in the year</t>
        </is>
      </c>
      <c r="C19" s="268">
        <f>Repayment!C7</f>
        <v/>
      </c>
      <c r="D19" s="268">
        <f>Repayment!D7</f>
        <v/>
      </c>
      <c r="E19" s="268">
        <f>Repayment!E7</f>
        <v/>
      </c>
      <c r="F19" s="268">
        <f>Repayment!F7</f>
        <v/>
      </c>
      <c r="G19" s="268">
        <f>Repayment!G7</f>
        <v/>
      </c>
    </row>
    <row r="20">
      <c r="A20" s="202" t="n"/>
      <c r="B20" s="293" t="inlineStr">
        <is>
          <t>Term Loan — closing balance</t>
        </is>
      </c>
      <c r="C20" s="294">
        <f>Repayment!C8</f>
        <v/>
      </c>
      <c r="D20" s="271">
        <f>Repayment!D8</f>
        <v/>
      </c>
      <c r="E20" s="271">
        <f>Repayment!E8</f>
        <v/>
      </c>
      <c r="F20" s="271">
        <f>Repayment!F8</f>
        <v/>
      </c>
      <c r="G20" s="271">
        <f>Repayment!G8</f>
        <v/>
      </c>
    </row>
    <row r="21">
      <c r="A21" s="202" t="n"/>
      <c r="B21" s="302" t="n"/>
      <c r="C21" s="303" t="n"/>
    </row>
    <row r="22">
      <c r="A22" s="202" t="n"/>
      <c r="B22" s="291" t="inlineStr">
        <is>
          <t>Working Capital (CC/OD) limit assessed</t>
        </is>
      </c>
      <c r="C22" s="292">
        <f>C13</f>
        <v/>
      </c>
      <c r="D22" s="268">
        <f>D13</f>
        <v/>
      </c>
      <c r="E22" s="268">
        <f>E13</f>
        <v/>
      </c>
      <c r="F22" s="268">
        <f>F13</f>
        <v/>
      </c>
      <c r="G22" s="268">
        <f>G13</f>
        <v/>
      </c>
    </row>
    <row r="23">
      <c r="A23" s="202" t="n"/>
      <c r="B23" s="293" t="inlineStr">
        <is>
          <t>Working Capital — utilised / drawn</t>
        </is>
      </c>
      <c r="C23" s="294">
        <f>Form_V_MPBF!C11</f>
        <v/>
      </c>
      <c r="D23" s="271">
        <f>Form_V_MPBF!D11</f>
        <v/>
      </c>
      <c r="E23" s="271">
        <f>Form_V_MPBF!E11</f>
        <v/>
      </c>
      <c r="F23" s="271">
        <f>Form_V_MPBF!F11</f>
        <v/>
      </c>
      <c r="G23" s="271">
        <f>Form_V_MPBF!G11</f>
        <v/>
      </c>
    </row>
    <row r="24">
      <c r="A24" s="202" t="n"/>
      <c r="B24" s="299" t="n"/>
      <c r="C24" s="300" t="n"/>
    </row>
    <row r="25">
      <c r="B25" s="272" t="inlineStr">
        <is>
          <t>TOTAL BANK BORROWING  (term + working capital)</t>
        </is>
      </c>
      <c r="C25" s="273">
        <f>C20+C23</f>
        <v/>
      </c>
      <c r="D25" s="273">
        <f>D20+D23</f>
        <v/>
      </c>
      <c r="E25" s="273">
        <f>E20+E23</f>
        <v/>
      </c>
      <c r="F25" s="273">
        <f>F20+F23</f>
        <v/>
      </c>
      <c r="G25" s="273">
        <f>G20+G23</f>
        <v/>
      </c>
    </row>
    <row r="26">
      <c r="B26" s="266" t="inlineStr">
        <is>
          <t>Promoters' capital / equity</t>
        </is>
      </c>
      <c r="C26" s="268">
        <f>Assumptions!$C$9</f>
        <v/>
      </c>
      <c r="D26" s="268">
        <f>Assumptions!$C$9</f>
        <v/>
      </c>
      <c r="E26" s="268">
        <f>Assumptions!$C$9</f>
        <v/>
      </c>
      <c r="F26" s="268">
        <f>Assumptions!$C$9</f>
        <v/>
      </c>
      <c r="G26" s="268">
        <f>Assumptions!$C$9</f>
        <v/>
      </c>
    </row>
    <row r="27">
      <c r="B27" s="272" t="inlineStr">
        <is>
          <t>TOTAL FUNDING  (bank + promoters)</t>
        </is>
      </c>
      <c r="C27" s="273">
        <f>C25+C26</f>
        <v/>
      </c>
      <c r="D27" s="273">
        <f>D25+D26</f>
        <v/>
      </c>
      <c r="E27" s="273">
        <f>E25+E26</f>
        <v/>
      </c>
      <c r="F27" s="273">
        <f>F25+F26</f>
        <v/>
      </c>
      <c r="G27" s="273">
        <f>G25+G26</f>
        <v/>
      </c>
    </row>
    <row r="28">
      <c r="B28" s="266" t="inlineStr">
        <is>
          <t>Term loan as % of total bank borrowing</t>
        </is>
      </c>
      <c r="C28" s="296">
        <f>IFERROR(C20/C25,0)</f>
        <v/>
      </c>
      <c r="D28" s="296">
        <f>IFERROR(D20/D25,0)</f>
        <v/>
      </c>
      <c r="E28" s="296">
        <f>IFERROR(E20/E25,0)</f>
        <v/>
      </c>
      <c r="F28" s="296">
        <f>IFERROR(F20/F25,0)</f>
        <v/>
      </c>
      <c r="G28" s="296">
        <f>IFERROR(G20/G25,0)</f>
        <v/>
      </c>
    </row>
    <row r="29">
      <c r="B29" s="266" t="inlineStr">
        <is>
          <t>Working capital as % of total bank borrowing</t>
        </is>
      </c>
      <c r="C29" s="296">
        <f>IFERROR(C23/C25,0)</f>
        <v/>
      </c>
      <c r="D29" s="296">
        <f>IFERROR(D23/D25,0)</f>
        <v/>
      </c>
      <c r="E29" s="296">
        <f>IFERROR(E23/E25,0)</f>
        <v/>
      </c>
      <c r="F29" s="296">
        <f>IFERROR(F23/F25,0)</f>
        <v/>
      </c>
      <c r="G29" s="296">
        <f>IFERROR(G23/G25,0)</f>
        <v/>
      </c>
    </row>
    <row r="31">
      <c r="A31" s="275" t="n"/>
      <c r="B31" s="274" t="inlineStr">
        <is>
          <t>C.   FINANCE COST   —   split by facility</t>
        </is>
      </c>
      <c r="C31" s="275" t="n"/>
      <c r="D31" s="275" t="n"/>
      <c r="E31" s="275" t="n"/>
      <c r="F31" s="275" t="n"/>
      <c r="G31" s="275" t="n"/>
    </row>
    <row r="32">
      <c r="B32" s="264" t="inlineStr">
        <is>
          <t>Particulars</t>
        </is>
      </c>
      <c r="C32" s="265" t="inlineStr">
        <is>
          <t>Year 1</t>
        </is>
      </c>
      <c r="D32" s="265" t="inlineStr">
        <is>
          <t>Year 2</t>
        </is>
      </c>
      <c r="E32" s="265" t="inlineStr">
        <is>
          <t>Year 3</t>
        </is>
      </c>
      <c r="F32" s="265" t="inlineStr">
        <is>
          <t>Year 4</t>
        </is>
      </c>
      <c r="G32" s="265" t="inlineStr">
        <is>
          <t>Year 5</t>
        </is>
      </c>
    </row>
    <row r="33">
      <c r="B33" s="266" t="inlineStr">
        <is>
          <t>Interest — Term Loan</t>
        </is>
      </c>
      <c r="C33" s="268">
        <f>Repayment!C6</f>
        <v/>
      </c>
      <c r="D33" s="268">
        <f>Repayment!D6</f>
        <v/>
      </c>
      <c r="E33" s="268">
        <f>Repayment!E6</f>
        <v/>
      </c>
      <c r="F33" s="268">
        <f>Repayment!F6</f>
        <v/>
      </c>
      <c r="G33" s="268">
        <f>Repayment!G6</f>
        <v/>
      </c>
    </row>
    <row r="34">
      <c r="B34" s="266" t="inlineStr">
        <is>
          <t>Interest — Working Capital</t>
        </is>
      </c>
      <c r="C34" s="268">
        <f>C23*Assumptions!$C$13</f>
        <v/>
      </c>
      <c r="D34" s="268">
        <f>D23*Assumptions!$C$13</f>
        <v/>
      </c>
      <c r="E34" s="268">
        <f>E23*Assumptions!$C$13</f>
        <v/>
      </c>
      <c r="F34" s="268">
        <f>F23*Assumptions!$C$13</f>
        <v/>
      </c>
      <c r="G34" s="268">
        <f>G23*Assumptions!$C$13</f>
        <v/>
      </c>
    </row>
    <row r="35">
      <c r="B35" s="272" t="inlineStr">
        <is>
          <t>TOTAL INTEREST / FINANCE COST</t>
        </is>
      </c>
      <c r="C35" s="273">
        <f>C33+C34</f>
        <v/>
      </c>
      <c r="D35" s="273">
        <f>D33+D34</f>
        <v/>
      </c>
      <c r="E35" s="273">
        <f>E33+E34</f>
        <v/>
      </c>
      <c r="F35" s="273">
        <f>F33+F34</f>
        <v/>
      </c>
      <c r="G35" s="273">
        <f>G33+G34</f>
        <v/>
      </c>
    </row>
    <row r="36">
      <c r="B36" s="270" t="inlineStr">
        <is>
          <t>Debt service  (interest + term-loan principal)</t>
        </is>
      </c>
      <c r="C36" s="271">
        <f>C35+C19</f>
        <v/>
      </c>
      <c r="D36" s="271">
        <f>D35+D19</f>
        <v/>
      </c>
      <c r="E36" s="271">
        <f>E35+E19</f>
        <v/>
      </c>
      <c r="F36" s="271">
        <f>F35+F19</f>
        <v/>
      </c>
      <c r="G36" s="271">
        <f>G35+G19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VI  —  FUND FLOW STATEMENT</t>
        </is>
      </c>
    </row>
    <row r="2" ht="15" customHeight="1" s="82">
      <c r="A2" s="114" t="inlineStr">
        <is>
          <t>Year-on-year sources and applications of funds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SOURCES OF FUNDS (₹)</t>
        </is>
      </c>
    </row>
    <row r="6" ht="15" customHeight="1" s="82">
      <c r="B6" s="144" t="inlineStr">
        <is>
          <t>Cash accrual (PAT + Depreciation)</t>
        </is>
      </c>
      <c r="C6" s="140">
        <f>Annual_Summary!C27</f>
        <v/>
      </c>
      <c r="D6" s="140">
        <f>Annual_Summary!D27</f>
        <v/>
      </c>
      <c r="E6" s="140">
        <f>Annual_Summary!E27</f>
        <v/>
      </c>
      <c r="F6" s="140">
        <f>Annual_Summary!F27</f>
        <v/>
      </c>
      <c r="G6" s="140">
        <f>Annual_Summary!G27</f>
        <v/>
      </c>
    </row>
    <row r="7" ht="15" customHeight="1" s="82">
      <c r="B7" s="144" t="inlineStr">
        <is>
          <t>Capital introduced</t>
        </is>
      </c>
      <c r="C7" s="143">
        <f>Assumptions!$C$9</f>
        <v/>
      </c>
      <c r="D7" s="143">
        <f>0</f>
        <v/>
      </c>
      <c r="E7" s="143">
        <f>0</f>
        <v/>
      </c>
      <c r="F7" s="143">
        <f>0</f>
        <v/>
      </c>
      <c r="G7" s="143">
        <f>0</f>
        <v/>
      </c>
    </row>
    <row r="8" ht="15" customHeight="1" s="82">
      <c r="B8" s="144" t="inlineStr">
        <is>
          <t>Term loan raised / existing loan brought forward</t>
        </is>
      </c>
      <c r="C8" s="143">
        <f>Assumptions!$C$8+IF(Assumptions!$C$72=2,Assumptions!$C$73,0)</f>
        <v/>
      </c>
      <c r="D8" s="143">
        <f>0</f>
        <v/>
      </c>
      <c r="E8" s="143">
        <f>0</f>
        <v/>
      </c>
      <c r="F8" s="143">
        <f>0</f>
        <v/>
      </c>
      <c r="G8" s="143">
        <f>0</f>
        <v/>
      </c>
    </row>
    <row r="9" ht="15" customHeight="1" s="82">
      <c r="B9" s="144" t="inlineStr">
        <is>
          <t>Increase / (decrease) in bank WC finance</t>
        </is>
      </c>
      <c r="C9" s="143">
        <f>Form_V_MPBF!C11</f>
        <v/>
      </c>
      <c r="D9" s="143">
        <f>(Form_V_MPBF!D11-Form_V_MPBF!C11)</f>
        <v/>
      </c>
      <c r="E9" s="143">
        <f>(Form_V_MPBF!E11-Form_V_MPBF!D11)</f>
        <v/>
      </c>
      <c r="F9" s="143">
        <f>(Form_V_MPBF!F11-Form_V_MPBF!E11)</f>
        <v/>
      </c>
      <c r="G9" s="143">
        <f>(Form_V_MPBF!G11-Form_V_MPBF!F11)</f>
        <v/>
      </c>
    </row>
    <row r="10" ht="15" customHeight="1" s="82">
      <c r="B10" s="144" t="inlineStr">
        <is>
          <t>Increase / (decrease) in creditors</t>
        </is>
      </c>
      <c r="C10" s="143">
        <f>Form_IV_CA_CL!C16</f>
        <v/>
      </c>
      <c r="D10" s="143">
        <f>(Form_IV_CA_CL!D16-Form_IV_CA_CL!C16)</f>
        <v/>
      </c>
      <c r="E10" s="143">
        <f>(Form_IV_CA_CL!E16-Form_IV_CA_CL!D16)</f>
        <v/>
      </c>
      <c r="F10" s="143">
        <f>(Form_IV_CA_CL!F16-Form_IV_CA_CL!E16)</f>
        <v/>
      </c>
      <c r="G10" s="143">
        <f>(Form_IV_CA_CL!G16-Form_IV_CA_CL!F16)</f>
        <v/>
      </c>
    </row>
    <row r="11" ht="15" customHeight="1" s="82">
      <c r="B11" s="137" t="inlineStr">
        <is>
          <t>TOTAL SOURCES (A)</t>
        </is>
      </c>
      <c r="C11" s="139">
        <f>SUM(C6:C10)</f>
        <v/>
      </c>
      <c r="D11" s="139">
        <f>SUM(D6:D10)</f>
        <v/>
      </c>
      <c r="E11" s="139">
        <f>SUM(E6:E10)</f>
        <v/>
      </c>
      <c r="F11" s="139">
        <f>SUM(F6:F10)</f>
        <v/>
      </c>
      <c r="G11" s="139">
        <f>SUM(G6:G10)</f>
        <v/>
      </c>
    </row>
    <row r="12" ht="16.5" customHeight="1" s="82">
      <c r="B12" s="146" t="inlineStr">
        <is>
          <t>APPLICATION OF FUNDS (₹)</t>
        </is>
      </c>
    </row>
    <row r="13" ht="15" customHeight="1" s="82">
      <c r="B13" s="144" t="inlineStr">
        <is>
          <t>Capital expenditure (fixed assets)</t>
        </is>
      </c>
      <c r="C13" s="143">
        <f>Form_III_BalanceSheet!C15</f>
        <v/>
      </c>
      <c r="D13" s="143">
        <f>(Form_III_BalanceSheet!D15-Form_III_BalanceSheet!C15)</f>
        <v/>
      </c>
      <c r="E13" s="143">
        <f>(Form_III_BalanceSheet!E15-Form_III_BalanceSheet!D15)</f>
        <v/>
      </c>
      <c r="F13" s="143">
        <f>(Form_III_BalanceSheet!F15-Form_III_BalanceSheet!E15)</f>
        <v/>
      </c>
      <c r="G13" s="143">
        <f>(Form_III_BalanceSheet!G15-Form_III_BalanceSheet!F15)</f>
        <v/>
      </c>
    </row>
    <row r="14" ht="15" customHeight="1" s="82">
      <c r="B14" s="144" t="inlineStr">
        <is>
          <t>Repayment of term loan</t>
        </is>
      </c>
      <c r="C14" s="140">
        <f>Repayment!C7+'Existing Loan'!C15</f>
        <v/>
      </c>
      <c r="D14" s="140">
        <f>Repayment!D7+'Existing Loan'!D15</f>
        <v/>
      </c>
      <c r="E14" s="140">
        <f>Repayment!E7+'Existing Loan'!E15</f>
        <v/>
      </c>
      <c r="F14" s="140">
        <f>Repayment!F7+'Existing Loan'!F15</f>
        <v/>
      </c>
      <c r="G14" s="140">
        <f>Repayment!G7+'Existing Loan'!G15</f>
        <v/>
      </c>
    </row>
    <row r="15" ht="15" customHeight="1" s="82">
      <c r="B15" s="144" t="inlineStr">
        <is>
          <t>Increase / (decrease) in current assets</t>
        </is>
      </c>
      <c r="C15" s="143">
        <f>(Form_III_BalanceSheet!C18+Form_III_BalanceSheet!C19+Form_III_BalanceSheet!C20)</f>
        <v/>
      </c>
      <c r="D15" s="143">
        <f>((Form_III_BalanceSheet!D18+Form_III_BalanceSheet!D19+Form_III_BalanceSheet!D20)-(Form_III_BalanceSheet!C18+Form_III_BalanceSheet!C19+Form_III_BalanceSheet!C20))</f>
        <v/>
      </c>
      <c r="E15" s="143">
        <f>((Form_III_BalanceSheet!E18+Form_III_BalanceSheet!E19+Form_III_BalanceSheet!E20)-(Form_III_BalanceSheet!D18+Form_III_BalanceSheet!D19+Form_III_BalanceSheet!D20))</f>
        <v/>
      </c>
      <c r="F15" s="143">
        <f>((Form_III_BalanceSheet!F18+Form_III_BalanceSheet!F19+Form_III_BalanceSheet!F20)-(Form_III_BalanceSheet!E18+Form_III_BalanceSheet!E19+Form_III_BalanceSheet!E20))</f>
        <v/>
      </c>
      <c r="G15" s="143">
        <f>((Form_III_BalanceSheet!G18+Form_III_BalanceSheet!G19+Form_III_BalanceSheet!G20)-(Form_III_BalanceSheet!F18+Form_III_BalanceSheet!F19+Form_III_BalanceSheet!F20))</f>
        <v/>
      </c>
    </row>
    <row r="16" ht="15" customHeight="1" s="82">
      <c r="B16" s="137" t="inlineStr">
        <is>
          <t>TOTAL APPLICATIONS (B)</t>
        </is>
      </c>
      <c r="C16" s="139">
        <f>SUM(C13:C15)</f>
        <v/>
      </c>
      <c r="D16" s="139">
        <f>SUM(D13:D15)</f>
        <v/>
      </c>
      <c r="E16" s="139">
        <f>SUM(E13:E15)</f>
        <v/>
      </c>
      <c r="F16" s="139">
        <f>SUM(F13:F15)</f>
        <v/>
      </c>
      <c r="G16" s="139">
        <f>SUM(G13:G15)</f>
        <v/>
      </c>
    </row>
    <row r="17" ht="15" customHeight="1" s="82">
      <c r="B17" s="137" t="inlineStr">
        <is>
          <t>Net Surplus / (Deficit)  (A − B)</t>
        </is>
      </c>
      <c r="C17" s="139">
        <f>C11-C16</f>
        <v/>
      </c>
      <c r="D17" s="139">
        <f>D11-D16</f>
        <v/>
      </c>
      <c r="E17" s="139">
        <f>E11-E16</f>
        <v/>
      </c>
      <c r="F17" s="139">
        <f>F11-F16</f>
        <v/>
      </c>
      <c r="G17" s="139">
        <f>G11-G16</f>
        <v/>
      </c>
    </row>
  </sheetData>
  <mergeCells count="4">
    <mergeCell ref="B5:H5"/>
    <mergeCell ref="A2:H2"/>
    <mergeCell ref="B12:H1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O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2" customWidth="1" style="82" min="14" max="14"/>
    <col width="15" customWidth="1" style="82" min="15" max="15"/>
  </cols>
  <sheetData>
    <row r="1" ht="25.5" customHeight="1" s="82">
      <c r="A1" s="113" t="inlineStr">
        <is>
          <t>TERM LOAN  —  REPAYMENT SCHEDULE</t>
        </is>
      </c>
    </row>
    <row r="2" ht="15" customHeight="1" s="82">
      <c r="A2" s="114">
        <f>"Interest @ "&amp;TEXT(Assumptions!$C$10,"0.00%")&amp;" p.a. on the reducing balance  ·  Tenure "&amp;TEXT(Assumptions!$C$11,"0")&amp;" months  ·  Moratorium "&amp;TEXT(Assumptions!$C$12,"0")&amp;" months  ·  Sanctioned "&amp;TEXT(Assumptions!$C$8,"#,##0")</f>
        <v/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88" t="inlineStr">
        <is>
          <t>Opening balance</t>
        </is>
      </c>
      <c r="C5" s="143">
        <f>Assumptions!$C$8</f>
        <v/>
      </c>
      <c r="D5" s="143">
        <f>C8</f>
        <v/>
      </c>
      <c r="E5" s="143">
        <f>D8</f>
        <v/>
      </c>
      <c r="F5" s="143">
        <f>E8</f>
        <v/>
      </c>
      <c r="G5" s="143">
        <f>F8</f>
        <v/>
      </c>
    </row>
    <row r="6" ht="15" customHeight="1" s="82">
      <c r="B6" s="88" t="inlineStr">
        <is>
          <t>Interest for the year</t>
        </is>
      </c>
      <c r="C6" s="143">
        <f>SUM(C25:N25)</f>
        <v/>
      </c>
      <c r="D6" s="143">
        <f>SUM(C32:N32)</f>
        <v/>
      </c>
      <c r="E6" s="143">
        <f>SUM(C39:N39)</f>
        <v/>
      </c>
      <c r="F6" s="143">
        <f>SUM(C46:N46)</f>
        <v/>
      </c>
      <c r="G6" s="143">
        <f>SUM(C53:N53)</f>
        <v/>
      </c>
    </row>
    <row r="7" ht="15" customHeight="1" s="82">
      <c r="B7" s="88" t="inlineStr">
        <is>
          <t>Principal repayment</t>
        </is>
      </c>
      <c r="C7" s="143">
        <f>SUM(C26:N26)</f>
        <v/>
      </c>
      <c r="D7" s="143">
        <f>SUM(C33:N33)</f>
        <v/>
      </c>
      <c r="E7" s="143">
        <f>SUM(C40:N40)</f>
        <v/>
      </c>
      <c r="F7" s="143">
        <f>SUM(C47:N47)</f>
        <v/>
      </c>
      <c r="G7" s="143">
        <f>SUM(C54:N54)</f>
        <v/>
      </c>
    </row>
    <row r="8" ht="15" customHeight="1" s="82">
      <c r="B8" s="137" t="inlineStr">
        <is>
          <t>Closing balance</t>
        </is>
      </c>
      <c r="C8" s="139">
        <f>C5-C7</f>
        <v/>
      </c>
      <c r="D8" s="139">
        <f>D5-D7</f>
        <v/>
      </c>
      <c r="E8" s="139">
        <f>E5-E7</f>
        <v/>
      </c>
      <c r="F8" s="139">
        <f>F5-F7</f>
        <v/>
      </c>
      <c r="G8" s="139">
        <f>G5-G7</f>
        <v/>
      </c>
    </row>
    <row r="10" ht="15" customHeight="1" s="82">
      <c r="B10" s="91" t="inlineStr">
        <is>
          <t>Note: schedule shows the first 5 years of the projection horizon; any balance beyond Year 5 continues per the sanctioned tenure.</t>
        </is>
      </c>
    </row>
    <row r="12" ht="22.5" customHeight="1" s="82">
      <c r="A12" s="236" t="inlineStr">
        <is>
          <t>MONTH-BY-MONTH REPAYMENT SCHEDULE</t>
        </is>
      </c>
    </row>
    <row r="13" ht="15" customHeight="1" s="82">
      <c r="A13" s="237" t="inlineStr">
        <is>
          <t>Interest accrues monthly on the reducing balance; principal is nil during the moratorium and starts thereafter. Each year's totals are the sum of its months.</t>
        </is>
      </c>
    </row>
    <row r="15">
      <c r="B15" s="238" t="inlineStr">
        <is>
          <t>Sanctioned term loan</t>
        </is>
      </c>
      <c r="C15" s="239">
        <f>Assumptions!$C$8</f>
        <v/>
      </c>
    </row>
    <row r="16">
      <c r="B16" s="238" t="inlineStr">
        <is>
          <t>Interest rate on term loan (per annum)</t>
        </is>
      </c>
      <c r="C16" s="240">
        <f>Assumptions!$C$10</f>
        <v/>
      </c>
    </row>
    <row r="17">
      <c r="B17" s="238" t="inlineStr">
        <is>
          <t>Tenure (months)</t>
        </is>
      </c>
      <c r="C17" s="241">
        <f>Assumptions!$C$11</f>
        <v/>
      </c>
    </row>
    <row r="18">
      <c r="B18" s="238" t="inlineStr">
        <is>
          <t>Moratorium / holiday period (months)</t>
        </is>
      </c>
      <c r="C18" s="241">
        <f>Assumptions!$C$12</f>
        <v/>
      </c>
    </row>
    <row r="19">
      <c r="B19" s="238" t="inlineStr">
        <is>
          <t>Monthly principal instalment</t>
        </is>
      </c>
      <c r="C19" s="239">
        <f>IFERROR(Assumptions!$C$8/(Assumptions!$C$11/12-Assumptions!$C$12/12)/12,0)</f>
        <v/>
      </c>
    </row>
    <row r="22" ht="18" customHeight="1" s="82">
      <c r="A22" s="242" t="inlineStr">
        <is>
          <t>YEAR 1</t>
        </is>
      </c>
    </row>
    <row r="23" ht="19.5" customHeight="1" s="82">
      <c r="B23" s="243" t="inlineStr">
        <is>
          <t>Particulars</t>
        </is>
      </c>
      <c r="C23" s="244" t="inlineStr">
        <is>
          <t>M1</t>
        </is>
      </c>
      <c r="D23" s="244" t="inlineStr">
        <is>
          <t>M2</t>
        </is>
      </c>
      <c r="E23" s="244" t="inlineStr">
        <is>
          <t>M3</t>
        </is>
      </c>
      <c r="F23" s="244" t="inlineStr">
        <is>
          <t>M4</t>
        </is>
      </c>
      <c r="G23" s="244" t="inlineStr">
        <is>
          <t>M5</t>
        </is>
      </c>
      <c r="H23" s="244" t="inlineStr">
        <is>
          <t>M6</t>
        </is>
      </c>
      <c r="I23" s="244" t="inlineStr">
        <is>
          <t>M7</t>
        </is>
      </c>
      <c r="J23" s="244" t="inlineStr">
        <is>
          <t>M8</t>
        </is>
      </c>
      <c r="K23" s="244" t="inlineStr">
        <is>
          <t>M9</t>
        </is>
      </c>
      <c r="L23" s="244" t="inlineStr">
        <is>
          <t>M10</t>
        </is>
      </c>
      <c r="M23" s="244" t="inlineStr">
        <is>
          <t>M11</t>
        </is>
      </c>
      <c r="N23" s="244" t="inlineStr">
        <is>
          <t>M12</t>
        </is>
      </c>
      <c r="O23" s="245" t="inlineStr">
        <is>
          <t>Year 1 Total</t>
        </is>
      </c>
    </row>
    <row r="24">
      <c r="B24" s="238" t="inlineStr">
        <is>
          <t>Opening balance</t>
        </is>
      </c>
      <c r="C24" s="239">
        <f>$C$5</f>
        <v/>
      </c>
      <c r="D24" s="239">
        <f>C27</f>
        <v/>
      </c>
      <c r="E24" s="239">
        <f>D27</f>
        <v/>
      </c>
      <c r="F24" s="239">
        <f>E27</f>
        <v/>
      </c>
      <c r="G24" s="239">
        <f>F27</f>
        <v/>
      </c>
      <c r="H24" s="239">
        <f>G27</f>
        <v/>
      </c>
      <c r="I24" s="239">
        <f>H27</f>
        <v/>
      </c>
      <c r="J24" s="239">
        <f>I27</f>
        <v/>
      </c>
      <c r="K24" s="239">
        <f>J27</f>
        <v/>
      </c>
      <c r="L24" s="239">
        <f>K27</f>
        <v/>
      </c>
      <c r="M24" s="239">
        <f>L27</f>
        <v/>
      </c>
      <c r="N24" s="239">
        <f>M27</f>
        <v/>
      </c>
      <c r="O24" s="239">
        <f>$C$5</f>
        <v/>
      </c>
    </row>
    <row r="25">
      <c r="B25" s="238" t="inlineStr">
        <is>
          <t>Interest for the month</t>
        </is>
      </c>
      <c r="C25" s="239">
        <f>C24*Assumptions!$C$10/12</f>
        <v/>
      </c>
      <c r="D25" s="239">
        <f>D24*Assumptions!$C$10/12</f>
        <v/>
      </c>
      <c r="E25" s="239">
        <f>E24*Assumptions!$C$10/12</f>
        <v/>
      </c>
      <c r="F25" s="239">
        <f>F24*Assumptions!$C$10/12</f>
        <v/>
      </c>
      <c r="G25" s="239">
        <f>G24*Assumptions!$C$10/12</f>
        <v/>
      </c>
      <c r="H25" s="239">
        <f>H24*Assumptions!$C$10/12</f>
        <v/>
      </c>
      <c r="I25" s="239">
        <f>I24*Assumptions!$C$10/12</f>
        <v/>
      </c>
      <c r="J25" s="239">
        <f>J24*Assumptions!$C$10/12</f>
        <v/>
      </c>
      <c r="K25" s="239">
        <f>K24*Assumptions!$C$10/12</f>
        <v/>
      </c>
      <c r="L25" s="239">
        <f>L24*Assumptions!$C$10/12</f>
        <v/>
      </c>
      <c r="M25" s="239">
        <f>M24*Assumptions!$C$10/12</f>
        <v/>
      </c>
      <c r="N25" s="239">
        <f>N24*Assumptions!$C$10/12</f>
        <v/>
      </c>
      <c r="O25" s="239">
        <f>SUM(C25:N25)</f>
        <v/>
      </c>
    </row>
    <row r="26">
      <c r="B26" s="238" t="inlineStr">
        <is>
          <t>Principal repayment</t>
        </is>
      </c>
      <c r="C26" s="239">
        <f>IF(1&lt;=Assumptions!$C$12,0,MIN(C24,$C$19))</f>
        <v/>
      </c>
      <c r="D26" s="239">
        <f>IF(2&lt;=Assumptions!$C$12,0,MIN(D24,$C$19))</f>
        <v/>
      </c>
      <c r="E26" s="239">
        <f>IF(3&lt;=Assumptions!$C$12,0,MIN(E24,$C$19))</f>
        <v/>
      </c>
      <c r="F26" s="239">
        <f>IF(4&lt;=Assumptions!$C$12,0,MIN(F24,$C$19))</f>
        <v/>
      </c>
      <c r="G26" s="239">
        <f>IF(5&lt;=Assumptions!$C$12,0,MIN(G24,$C$19))</f>
        <v/>
      </c>
      <c r="H26" s="239">
        <f>IF(6&lt;=Assumptions!$C$12,0,MIN(H24,$C$19))</f>
        <v/>
      </c>
      <c r="I26" s="239">
        <f>IF(7&lt;=Assumptions!$C$12,0,MIN(I24,$C$19))</f>
        <v/>
      </c>
      <c r="J26" s="239">
        <f>IF(8&lt;=Assumptions!$C$12,0,MIN(J24,$C$19))</f>
        <v/>
      </c>
      <c r="K26" s="239">
        <f>IF(9&lt;=Assumptions!$C$12,0,MIN(K24,$C$19))</f>
        <v/>
      </c>
      <c r="L26" s="239">
        <f>IF(10&lt;=Assumptions!$C$12,0,MIN(L24,$C$19))</f>
        <v/>
      </c>
      <c r="M26" s="239">
        <f>IF(11&lt;=Assumptions!$C$12,0,MIN(M24,$C$19))</f>
        <v/>
      </c>
      <c r="N26" s="239">
        <f>IF(12&lt;=Assumptions!$C$12,0,MIN(N24,$C$19))</f>
        <v/>
      </c>
      <c r="O26" s="239">
        <f>SUM(C26:N26)</f>
        <v/>
      </c>
    </row>
    <row r="27">
      <c r="B27" s="246" t="inlineStr">
        <is>
          <t>Closing balance</t>
        </is>
      </c>
      <c r="C27" s="247">
        <f>C24-C26</f>
        <v/>
      </c>
      <c r="D27" s="247">
        <f>D24-D26</f>
        <v/>
      </c>
      <c r="E27" s="247">
        <f>E24-E26</f>
        <v/>
      </c>
      <c r="F27" s="247">
        <f>F24-F26</f>
        <v/>
      </c>
      <c r="G27" s="247">
        <f>G24-G26</f>
        <v/>
      </c>
      <c r="H27" s="247">
        <f>H24-H26</f>
        <v/>
      </c>
      <c r="I27" s="247">
        <f>I24-I26</f>
        <v/>
      </c>
      <c r="J27" s="247">
        <f>J24-J26</f>
        <v/>
      </c>
      <c r="K27" s="247">
        <f>K24-K26</f>
        <v/>
      </c>
      <c r="L27" s="247">
        <f>L24-L26</f>
        <v/>
      </c>
      <c r="M27" s="247">
        <f>M24-M26</f>
        <v/>
      </c>
      <c r="N27" s="247">
        <f>N24-N26</f>
        <v/>
      </c>
      <c r="O27" s="247">
        <f>$C$8</f>
        <v/>
      </c>
    </row>
    <row r="29" ht="18" customHeight="1" s="82">
      <c r="A29" s="242" t="inlineStr">
        <is>
          <t>YEAR 2</t>
        </is>
      </c>
    </row>
    <row r="30" ht="19.5" customHeight="1" s="82">
      <c r="B30" s="243" t="inlineStr">
        <is>
          <t>Particulars</t>
        </is>
      </c>
      <c r="C30" s="244" t="inlineStr">
        <is>
          <t>M1</t>
        </is>
      </c>
      <c r="D30" s="244" t="inlineStr">
        <is>
          <t>M2</t>
        </is>
      </c>
      <c r="E30" s="244" t="inlineStr">
        <is>
          <t>M3</t>
        </is>
      </c>
      <c r="F30" s="244" t="inlineStr">
        <is>
          <t>M4</t>
        </is>
      </c>
      <c r="G30" s="244" t="inlineStr">
        <is>
          <t>M5</t>
        </is>
      </c>
      <c r="H30" s="244" t="inlineStr">
        <is>
          <t>M6</t>
        </is>
      </c>
      <c r="I30" s="244" t="inlineStr">
        <is>
          <t>M7</t>
        </is>
      </c>
      <c r="J30" s="244" t="inlineStr">
        <is>
          <t>M8</t>
        </is>
      </c>
      <c r="K30" s="244" t="inlineStr">
        <is>
          <t>M9</t>
        </is>
      </c>
      <c r="L30" s="244" t="inlineStr">
        <is>
          <t>M10</t>
        </is>
      </c>
      <c r="M30" s="244" t="inlineStr">
        <is>
          <t>M11</t>
        </is>
      </c>
      <c r="N30" s="244" t="inlineStr">
        <is>
          <t>M12</t>
        </is>
      </c>
      <c r="O30" s="245" t="inlineStr">
        <is>
          <t>Year 2 Total</t>
        </is>
      </c>
    </row>
    <row r="31">
      <c r="B31" s="238" t="inlineStr">
        <is>
          <t>Opening balance</t>
        </is>
      </c>
      <c r="C31" s="239">
        <f>$D$5</f>
        <v/>
      </c>
      <c r="D31" s="239">
        <f>C34</f>
        <v/>
      </c>
      <c r="E31" s="239">
        <f>D34</f>
        <v/>
      </c>
      <c r="F31" s="239">
        <f>E34</f>
        <v/>
      </c>
      <c r="G31" s="239">
        <f>F34</f>
        <v/>
      </c>
      <c r="H31" s="239">
        <f>G34</f>
        <v/>
      </c>
      <c r="I31" s="239">
        <f>H34</f>
        <v/>
      </c>
      <c r="J31" s="239">
        <f>I34</f>
        <v/>
      </c>
      <c r="K31" s="239">
        <f>J34</f>
        <v/>
      </c>
      <c r="L31" s="239">
        <f>K34</f>
        <v/>
      </c>
      <c r="M31" s="239">
        <f>L34</f>
        <v/>
      </c>
      <c r="N31" s="239">
        <f>M34</f>
        <v/>
      </c>
      <c r="O31" s="239">
        <f>$D$5</f>
        <v/>
      </c>
    </row>
    <row r="32">
      <c r="B32" s="238" t="inlineStr">
        <is>
          <t>Interest for the month</t>
        </is>
      </c>
      <c r="C32" s="239">
        <f>C31*Assumptions!$C$10/12</f>
        <v/>
      </c>
      <c r="D32" s="239">
        <f>D31*Assumptions!$C$10/12</f>
        <v/>
      </c>
      <c r="E32" s="239">
        <f>E31*Assumptions!$C$10/12</f>
        <v/>
      </c>
      <c r="F32" s="239">
        <f>F31*Assumptions!$C$10/12</f>
        <v/>
      </c>
      <c r="G32" s="239">
        <f>G31*Assumptions!$C$10/12</f>
        <v/>
      </c>
      <c r="H32" s="239">
        <f>H31*Assumptions!$C$10/12</f>
        <v/>
      </c>
      <c r="I32" s="239">
        <f>I31*Assumptions!$C$10/12</f>
        <v/>
      </c>
      <c r="J32" s="239">
        <f>J31*Assumptions!$C$10/12</f>
        <v/>
      </c>
      <c r="K32" s="239">
        <f>K31*Assumptions!$C$10/12</f>
        <v/>
      </c>
      <c r="L32" s="239">
        <f>L31*Assumptions!$C$10/12</f>
        <v/>
      </c>
      <c r="M32" s="239">
        <f>M31*Assumptions!$C$10/12</f>
        <v/>
      </c>
      <c r="N32" s="239">
        <f>N31*Assumptions!$C$10/12</f>
        <v/>
      </c>
      <c r="O32" s="239">
        <f>SUM(C32:N32)</f>
        <v/>
      </c>
    </row>
    <row r="33">
      <c r="B33" s="238" t="inlineStr">
        <is>
          <t>Principal repayment</t>
        </is>
      </c>
      <c r="C33" s="239">
        <f>IF(13&lt;=Assumptions!$C$12,0,MIN(C31,$C$19))</f>
        <v/>
      </c>
      <c r="D33" s="239">
        <f>IF(14&lt;=Assumptions!$C$12,0,MIN(D31,$C$19))</f>
        <v/>
      </c>
      <c r="E33" s="239">
        <f>IF(15&lt;=Assumptions!$C$12,0,MIN(E31,$C$19))</f>
        <v/>
      </c>
      <c r="F33" s="239">
        <f>IF(16&lt;=Assumptions!$C$12,0,MIN(F31,$C$19))</f>
        <v/>
      </c>
      <c r="G33" s="239">
        <f>IF(17&lt;=Assumptions!$C$12,0,MIN(G31,$C$19))</f>
        <v/>
      </c>
      <c r="H33" s="239">
        <f>IF(18&lt;=Assumptions!$C$12,0,MIN(H31,$C$19))</f>
        <v/>
      </c>
      <c r="I33" s="239">
        <f>IF(19&lt;=Assumptions!$C$12,0,MIN(I31,$C$19))</f>
        <v/>
      </c>
      <c r="J33" s="239">
        <f>IF(20&lt;=Assumptions!$C$12,0,MIN(J31,$C$19))</f>
        <v/>
      </c>
      <c r="K33" s="239">
        <f>IF(21&lt;=Assumptions!$C$12,0,MIN(K31,$C$19))</f>
        <v/>
      </c>
      <c r="L33" s="239">
        <f>IF(22&lt;=Assumptions!$C$12,0,MIN(L31,$C$19))</f>
        <v/>
      </c>
      <c r="M33" s="239">
        <f>IF(23&lt;=Assumptions!$C$12,0,MIN(M31,$C$19))</f>
        <v/>
      </c>
      <c r="N33" s="239">
        <f>IF(24&lt;=Assumptions!$C$12,0,MIN(N31,$C$19))</f>
        <v/>
      </c>
      <c r="O33" s="239">
        <f>SUM(C33:N33)</f>
        <v/>
      </c>
    </row>
    <row r="34">
      <c r="B34" s="246" t="inlineStr">
        <is>
          <t>Closing balance</t>
        </is>
      </c>
      <c r="C34" s="247">
        <f>C31-C33</f>
        <v/>
      </c>
      <c r="D34" s="247">
        <f>D31-D33</f>
        <v/>
      </c>
      <c r="E34" s="247">
        <f>E31-E33</f>
        <v/>
      </c>
      <c r="F34" s="247">
        <f>F31-F33</f>
        <v/>
      </c>
      <c r="G34" s="247">
        <f>G31-G33</f>
        <v/>
      </c>
      <c r="H34" s="247">
        <f>H31-H33</f>
        <v/>
      </c>
      <c r="I34" s="247">
        <f>I31-I33</f>
        <v/>
      </c>
      <c r="J34" s="247">
        <f>J31-J33</f>
        <v/>
      </c>
      <c r="K34" s="247">
        <f>K31-K33</f>
        <v/>
      </c>
      <c r="L34" s="247">
        <f>L31-L33</f>
        <v/>
      </c>
      <c r="M34" s="247">
        <f>M31-M33</f>
        <v/>
      </c>
      <c r="N34" s="247">
        <f>N31-N33</f>
        <v/>
      </c>
      <c r="O34" s="247">
        <f>$D$8</f>
        <v/>
      </c>
    </row>
    <row r="36" ht="18" customHeight="1" s="82">
      <c r="A36" s="242" t="inlineStr">
        <is>
          <t>YEAR 3</t>
        </is>
      </c>
    </row>
    <row r="37" ht="19.5" customHeight="1" s="82">
      <c r="B37" s="243" t="inlineStr">
        <is>
          <t>Particulars</t>
        </is>
      </c>
      <c r="C37" s="244" t="inlineStr">
        <is>
          <t>M1</t>
        </is>
      </c>
      <c r="D37" s="244" t="inlineStr">
        <is>
          <t>M2</t>
        </is>
      </c>
      <c r="E37" s="244" t="inlineStr">
        <is>
          <t>M3</t>
        </is>
      </c>
      <c r="F37" s="244" t="inlineStr">
        <is>
          <t>M4</t>
        </is>
      </c>
      <c r="G37" s="244" t="inlineStr">
        <is>
          <t>M5</t>
        </is>
      </c>
      <c r="H37" s="244" t="inlineStr">
        <is>
          <t>M6</t>
        </is>
      </c>
      <c r="I37" s="244" t="inlineStr">
        <is>
          <t>M7</t>
        </is>
      </c>
      <c r="J37" s="244" t="inlineStr">
        <is>
          <t>M8</t>
        </is>
      </c>
      <c r="K37" s="244" t="inlineStr">
        <is>
          <t>M9</t>
        </is>
      </c>
      <c r="L37" s="244" t="inlineStr">
        <is>
          <t>M10</t>
        </is>
      </c>
      <c r="M37" s="244" t="inlineStr">
        <is>
          <t>M11</t>
        </is>
      </c>
      <c r="N37" s="244" t="inlineStr">
        <is>
          <t>M12</t>
        </is>
      </c>
      <c r="O37" s="245" t="inlineStr">
        <is>
          <t>Year 3 Total</t>
        </is>
      </c>
    </row>
    <row r="38">
      <c r="B38" s="238" t="inlineStr">
        <is>
          <t>Opening balance</t>
        </is>
      </c>
      <c r="C38" s="239">
        <f>$E$5</f>
        <v/>
      </c>
      <c r="D38" s="239">
        <f>C41</f>
        <v/>
      </c>
      <c r="E38" s="239">
        <f>D41</f>
        <v/>
      </c>
      <c r="F38" s="239">
        <f>E41</f>
        <v/>
      </c>
      <c r="G38" s="239">
        <f>F41</f>
        <v/>
      </c>
      <c r="H38" s="239">
        <f>G41</f>
        <v/>
      </c>
      <c r="I38" s="239">
        <f>H41</f>
        <v/>
      </c>
      <c r="J38" s="239">
        <f>I41</f>
        <v/>
      </c>
      <c r="K38" s="239">
        <f>J41</f>
        <v/>
      </c>
      <c r="L38" s="239">
        <f>K41</f>
        <v/>
      </c>
      <c r="M38" s="239">
        <f>L41</f>
        <v/>
      </c>
      <c r="N38" s="239">
        <f>M41</f>
        <v/>
      </c>
      <c r="O38" s="239">
        <f>$E$5</f>
        <v/>
      </c>
    </row>
    <row r="39">
      <c r="B39" s="238" t="inlineStr">
        <is>
          <t>Interest for the month</t>
        </is>
      </c>
      <c r="C39" s="239">
        <f>C38*Assumptions!$C$10/12</f>
        <v/>
      </c>
      <c r="D39" s="239">
        <f>D38*Assumptions!$C$10/12</f>
        <v/>
      </c>
      <c r="E39" s="239">
        <f>E38*Assumptions!$C$10/12</f>
        <v/>
      </c>
      <c r="F39" s="239">
        <f>F38*Assumptions!$C$10/12</f>
        <v/>
      </c>
      <c r="G39" s="239">
        <f>G38*Assumptions!$C$10/12</f>
        <v/>
      </c>
      <c r="H39" s="239">
        <f>H38*Assumptions!$C$10/12</f>
        <v/>
      </c>
      <c r="I39" s="239">
        <f>I38*Assumptions!$C$10/12</f>
        <v/>
      </c>
      <c r="J39" s="239">
        <f>J38*Assumptions!$C$10/12</f>
        <v/>
      </c>
      <c r="K39" s="239">
        <f>K38*Assumptions!$C$10/12</f>
        <v/>
      </c>
      <c r="L39" s="239">
        <f>L38*Assumptions!$C$10/12</f>
        <v/>
      </c>
      <c r="M39" s="239">
        <f>M38*Assumptions!$C$10/12</f>
        <v/>
      </c>
      <c r="N39" s="239">
        <f>N38*Assumptions!$C$10/12</f>
        <v/>
      </c>
      <c r="O39" s="239">
        <f>SUM(C39:N39)</f>
        <v/>
      </c>
    </row>
    <row r="40">
      <c r="B40" s="238" t="inlineStr">
        <is>
          <t>Principal repayment</t>
        </is>
      </c>
      <c r="C40" s="239">
        <f>IF(25&lt;=Assumptions!$C$12,0,MIN(C38,$C$19))</f>
        <v/>
      </c>
      <c r="D40" s="239">
        <f>IF(26&lt;=Assumptions!$C$12,0,MIN(D38,$C$19))</f>
        <v/>
      </c>
      <c r="E40" s="239">
        <f>IF(27&lt;=Assumptions!$C$12,0,MIN(E38,$C$19))</f>
        <v/>
      </c>
      <c r="F40" s="239">
        <f>IF(28&lt;=Assumptions!$C$12,0,MIN(F38,$C$19))</f>
        <v/>
      </c>
      <c r="G40" s="239">
        <f>IF(29&lt;=Assumptions!$C$12,0,MIN(G38,$C$19))</f>
        <v/>
      </c>
      <c r="H40" s="239">
        <f>IF(30&lt;=Assumptions!$C$12,0,MIN(H38,$C$19))</f>
        <v/>
      </c>
      <c r="I40" s="239">
        <f>IF(31&lt;=Assumptions!$C$12,0,MIN(I38,$C$19))</f>
        <v/>
      </c>
      <c r="J40" s="239">
        <f>IF(32&lt;=Assumptions!$C$12,0,MIN(J38,$C$19))</f>
        <v/>
      </c>
      <c r="K40" s="239">
        <f>IF(33&lt;=Assumptions!$C$12,0,MIN(K38,$C$19))</f>
        <v/>
      </c>
      <c r="L40" s="239">
        <f>IF(34&lt;=Assumptions!$C$12,0,MIN(L38,$C$19))</f>
        <v/>
      </c>
      <c r="M40" s="239">
        <f>IF(35&lt;=Assumptions!$C$12,0,MIN(M38,$C$19))</f>
        <v/>
      </c>
      <c r="N40" s="239">
        <f>IF(36&lt;=Assumptions!$C$12,0,MIN(N38,$C$19))</f>
        <v/>
      </c>
      <c r="O40" s="239">
        <f>SUM(C40:N40)</f>
        <v/>
      </c>
    </row>
    <row r="41">
      <c r="B41" s="246" t="inlineStr">
        <is>
          <t>Closing balance</t>
        </is>
      </c>
      <c r="C41" s="247">
        <f>C38-C40</f>
        <v/>
      </c>
      <c r="D41" s="247">
        <f>D38-D40</f>
        <v/>
      </c>
      <c r="E41" s="247">
        <f>E38-E40</f>
        <v/>
      </c>
      <c r="F41" s="247">
        <f>F38-F40</f>
        <v/>
      </c>
      <c r="G41" s="247">
        <f>G38-G40</f>
        <v/>
      </c>
      <c r="H41" s="247">
        <f>H38-H40</f>
        <v/>
      </c>
      <c r="I41" s="247">
        <f>I38-I40</f>
        <v/>
      </c>
      <c r="J41" s="247">
        <f>J38-J40</f>
        <v/>
      </c>
      <c r="K41" s="247">
        <f>K38-K40</f>
        <v/>
      </c>
      <c r="L41" s="247">
        <f>L38-L40</f>
        <v/>
      </c>
      <c r="M41" s="247">
        <f>M38-M40</f>
        <v/>
      </c>
      <c r="N41" s="247">
        <f>N38-N40</f>
        <v/>
      </c>
      <c r="O41" s="247">
        <f>$E$8</f>
        <v/>
      </c>
    </row>
    <row r="43" ht="18" customHeight="1" s="82">
      <c r="A43" s="242" t="inlineStr">
        <is>
          <t>YEAR 4</t>
        </is>
      </c>
    </row>
    <row r="44" ht="19.5" customHeight="1" s="82">
      <c r="B44" s="243" t="inlineStr">
        <is>
          <t>Particulars</t>
        </is>
      </c>
      <c r="C44" s="244" t="inlineStr">
        <is>
          <t>M1</t>
        </is>
      </c>
      <c r="D44" s="244" t="inlineStr">
        <is>
          <t>M2</t>
        </is>
      </c>
      <c r="E44" s="244" t="inlineStr">
        <is>
          <t>M3</t>
        </is>
      </c>
      <c r="F44" s="244" t="inlineStr">
        <is>
          <t>M4</t>
        </is>
      </c>
      <c r="G44" s="244" t="inlineStr">
        <is>
          <t>M5</t>
        </is>
      </c>
      <c r="H44" s="244" t="inlineStr">
        <is>
          <t>M6</t>
        </is>
      </c>
      <c r="I44" s="244" t="inlineStr">
        <is>
          <t>M7</t>
        </is>
      </c>
      <c r="J44" s="244" t="inlineStr">
        <is>
          <t>M8</t>
        </is>
      </c>
      <c r="K44" s="244" t="inlineStr">
        <is>
          <t>M9</t>
        </is>
      </c>
      <c r="L44" s="244" t="inlineStr">
        <is>
          <t>M10</t>
        </is>
      </c>
      <c r="M44" s="244" t="inlineStr">
        <is>
          <t>M11</t>
        </is>
      </c>
      <c r="N44" s="244" t="inlineStr">
        <is>
          <t>M12</t>
        </is>
      </c>
      <c r="O44" s="245" t="inlineStr">
        <is>
          <t>Year 4 Total</t>
        </is>
      </c>
    </row>
    <row r="45">
      <c r="B45" s="238" t="inlineStr">
        <is>
          <t>Opening balance</t>
        </is>
      </c>
      <c r="C45" s="239">
        <f>$F$5</f>
        <v/>
      </c>
      <c r="D45" s="239">
        <f>C48</f>
        <v/>
      </c>
      <c r="E45" s="239">
        <f>D48</f>
        <v/>
      </c>
      <c r="F45" s="239">
        <f>E48</f>
        <v/>
      </c>
      <c r="G45" s="239">
        <f>F48</f>
        <v/>
      </c>
      <c r="H45" s="239">
        <f>G48</f>
        <v/>
      </c>
      <c r="I45" s="239">
        <f>H48</f>
        <v/>
      </c>
      <c r="J45" s="239">
        <f>I48</f>
        <v/>
      </c>
      <c r="K45" s="239">
        <f>J48</f>
        <v/>
      </c>
      <c r="L45" s="239">
        <f>K48</f>
        <v/>
      </c>
      <c r="M45" s="239">
        <f>L48</f>
        <v/>
      </c>
      <c r="N45" s="239">
        <f>M48</f>
        <v/>
      </c>
      <c r="O45" s="239">
        <f>$F$5</f>
        <v/>
      </c>
    </row>
    <row r="46">
      <c r="B46" s="238" t="inlineStr">
        <is>
          <t>Interest for the month</t>
        </is>
      </c>
      <c r="C46" s="239">
        <f>C45*Assumptions!$C$10/12</f>
        <v/>
      </c>
      <c r="D46" s="239">
        <f>D45*Assumptions!$C$10/12</f>
        <v/>
      </c>
      <c r="E46" s="239">
        <f>E45*Assumptions!$C$10/12</f>
        <v/>
      </c>
      <c r="F46" s="239">
        <f>F45*Assumptions!$C$10/12</f>
        <v/>
      </c>
      <c r="G46" s="239">
        <f>G45*Assumptions!$C$10/12</f>
        <v/>
      </c>
      <c r="H46" s="239">
        <f>H45*Assumptions!$C$10/12</f>
        <v/>
      </c>
      <c r="I46" s="239">
        <f>I45*Assumptions!$C$10/12</f>
        <v/>
      </c>
      <c r="J46" s="239">
        <f>J45*Assumptions!$C$10/12</f>
        <v/>
      </c>
      <c r="K46" s="239">
        <f>K45*Assumptions!$C$10/12</f>
        <v/>
      </c>
      <c r="L46" s="239">
        <f>L45*Assumptions!$C$10/12</f>
        <v/>
      </c>
      <c r="M46" s="239">
        <f>M45*Assumptions!$C$10/12</f>
        <v/>
      </c>
      <c r="N46" s="239">
        <f>N45*Assumptions!$C$10/12</f>
        <v/>
      </c>
      <c r="O46" s="239">
        <f>SUM(C46:N46)</f>
        <v/>
      </c>
    </row>
    <row r="47">
      <c r="B47" s="238" t="inlineStr">
        <is>
          <t>Principal repayment</t>
        </is>
      </c>
      <c r="C47" s="239">
        <f>IF(37&lt;=Assumptions!$C$12,0,MIN(C45,$C$19))</f>
        <v/>
      </c>
      <c r="D47" s="239">
        <f>IF(38&lt;=Assumptions!$C$12,0,MIN(D45,$C$19))</f>
        <v/>
      </c>
      <c r="E47" s="239">
        <f>IF(39&lt;=Assumptions!$C$12,0,MIN(E45,$C$19))</f>
        <v/>
      </c>
      <c r="F47" s="239">
        <f>IF(40&lt;=Assumptions!$C$12,0,MIN(F45,$C$19))</f>
        <v/>
      </c>
      <c r="G47" s="239">
        <f>IF(41&lt;=Assumptions!$C$12,0,MIN(G45,$C$19))</f>
        <v/>
      </c>
      <c r="H47" s="239">
        <f>IF(42&lt;=Assumptions!$C$12,0,MIN(H45,$C$19))</f>
        <v/>
      </c>
      <c r="I47" s="239">
        <f>IF(43&lt;=Assumptions!$C$12,0,MIN(I45,$C$19))</f>
        <v/>
      </c>
      <c r="J47" s="239">
        <f>IF(44&lt;=Assumptions!$C$12,0,MIN(J45,$C$19))</f>
        <v/>
      </c>
      <c r="K47" s="239">
        <f>IF(45&lt;=Assumptions!$C$12,0,MIN(K45,$C$19))</f>
        <v/>
      </c>
      <c r="L47" s="239">
        <f>IF(46&lt;=Assumptions!$C$12,0,MIN(L45,$C$19))</f>
        <v/>
      </c>
      <c r="M47" s="239">
        <f>IF(47&lt;=Assumptions!$C$12,0,MIN(M45,$C$19))</f>
        <v/>
      </c>
      <c r="N47" s="239">
        <f>IF(48&lt;=Assumptions!$C$12,0,MIN(N45,$C$19))</f>
        <v/>
      </c>
      <c r="O47" s="239">
        <f>SUM(C47:N47)</f>
        <v/>
      </c>
    </row>
    <row r="48">
      <c r="B48" s="246" t="inlineStr">
        <is>
          <t>Closing balance</t>
        </is>
      </c>
      <c r="C48" s="247">
        <f>C45-C47</f>
        <v/>
      </c>
      <c r="D48" s="247">
        <f>D45-D47</f>
        <v/>
      </c>
      <c r="E48" s="247">
        <f>E45-E47</f>
        <v/>
      </c>
      <c r="F48" s="247">
        <f>F45-F47</f>
        <v/>
      </c>
      <c r="G48" s="247">
        <f>G45-G47</f>
        <v/>
      </c>
      <c r="H48" s="247">
        <f>H45-H47</f>
        <v/>
      </c>
      <c r="I48" s="247">
        <f>I45-I47</f>
        <v/>
      </c>
      <c r="J48" s="247">
        <f>J45-J47</f>
        <v/>
      </c>
      <c r="K48" s="247">
        <f>K45-K47</f>
        <v/>
      </c>
      <c r="L48" s="247">
        <f>L45-L47</f>
        <v/>
      </c>
      <c r="M48" s="247">
        <f>M45-M47</f>
        <v/>
      </c>
      <c r="N48" s="247">
        <f>N45-N47</f>
        <v/>
      </c>
      <c r="O48" s="247">
        <f>$F$8</f>
        <v/>
      </c>
    </row>
    <row r="50" ht="18" customHeight="1" s="82">
      <c r="A50" s="242" t="inlineStr">
        <is>
          <t>YEAR 5</t>
        </is>
      </c>
    </row>
    <row r="51" ht="19.5" customHeight="1" s="82">
      <c r="B51" s="243" t="inlineStr">
        <is>
          <t>Particulars</t>
        </is>
      </c>
      <c r="C51" s="244" t="inlineStr">
        <is>
          <t>M1</t>
        </is>
      </c>
      <c r="D51" s="244" t="inlineStr">
        <is>
          <t>M2</t>
        </is>
      </c>
      <c r="E51" s="244" t="inlineStr">
        <is>
          <t>M3</t>
        </is>
      </c>
      <c r="F51" s="244" t="inlineStr">
        <is>
          <t>M4</t>
        </is>
      </c>
      <c r="G51" s="244" t="inlineStr">
        <is>
          <t>M5</t>
        </is>
      </c>
      <c r="H51" s="244" t="inlineStr">
        <is>
          <t>M6</t>
        </is>
      </c>
      <c r="I51" s="244" t="inlineStr">
        <is>
          <t>M7</t>
        </is>
      </c>
      <c r="J51" s="244" t="inlineStr">
        <is>
          <t>M8</t>
        </is>
      </c>
      <c r="K51" s="244" t="inlineStr">
        <is>
          <t>M9</t>
        </is>
      </c>
      <c r="L51" s="244" t="inlineStr">
        <is>
          <t>M10</t>
        </is>
      </c>
      <c r="M51" s="244" t="inlineStr">
        <is>
          <t>M11</t>
        </is>
      </c>
      <c r="N51" s="244" t="inlineStr">
        <is>
          <t>M12</t>
        </is>
      </c>
      <c r="O51" s="245" t="inlineStr">
        <is>
          <t>Year 5 Total</t>
        </is>
      </c>
    </row>
    <row r="52">
      <c r="B52" s="238" t="inlineStr">
        <is>
          <t>Opening balance</t>
        </is>
      </c>
      <c r="C52" s="239">
        <f>$G$5</f>
        <v/>
      </c>
      <c r="D52" s="239">
        <f>C55</f>
        <v/>
      </c>
      <c r="E52" s="239">
        <f>D55</f>
        <v/>
      </c>
      <c r="F52" s="239">
        <f>E55</f>
        <v/>
      </c>
      <c r="G52" s="239">
        <f>F55</f>
        <v/>
      </c>
      <c r="H52" s="239">
        <f>G55</f>
        <v/>
      </c>
      <c r="I52" s="239">
        <f>H55</f>
        <v/>
      </c>
      <c r="J52" s="239">
        <f>I55</f>
        <v/>
      </c>
      <c r="K52" s="239">
        <f>J55</f>
        <v/>
      </c>
      <c r="L52" s="239">
        <f>K55</f>
        <v/>
      </c>
      <c r="M52" s="239">
        <f>L55</f>
        <v/>
      </c>
      <c r="N52" s="239">
        <f>M55</f>
        <v/>
      </c>
      <c r="O52" s="239">
        <f>$G$5</f>
        <v/>
      </c>
    </row>
    <row r="53">
      <c r="B53" s="238" t="inlineStr">
        <is>
          <t>Interest for the month</t>
        </is>
      </c>
      <c r="C53" s="239">
        <f>C52*Assumptions!$C$10/12</f>
        <v/>
      </c>
      <c r="D53" s="239">
        <f>D52*Assumptions!$C$10/12</f>
        <v/>
      </c>
      <c r="E53" s="239">
        <f>E52*Assumptions!$C$10/12</f>
        <v/>
      </c>
      <c r="F53" s="239">
        <f>F52*Assumptions!$C$10/12</f>
        <v/>
      </c>
      <c r="G53" s="239">
        <f>G52*Assumptions!$C$10/12</f>
        <v/>
      </c>
      <c r="H53" s="239">
        <f>H52*Assumptions!$C$10/12</f>
        <v/>
      </c>
      <c r="I53" s="239">
        <f>I52*Assumptions!$C$10/12</f>
        <v/>
      </c>
      <c r="J53" s="239">
        <f>J52*Assumptions!$C$10/12</f>
        <v/>
      </c>
      <c r="K53" s="239">
        <f>K52*Assumptions!$C$10/12</f>
        <v/>
      </c>
      <c r="L53" s="239">
        <f>L52*Assumptions!$C$10/12</f>
        <v/>
      </c>
      <c r="M53" s="239">
        <f>M52*Assumptions!$C$10/12</f>
        <v/>
      </c>
      <c r="N53" s="239">
        <f>N52*Assumptions!$C$10/12</f>
        <v/>
      </c>
      <c r="O53" s="239">
        <f>SUM(C53:N53)</f>
        <v/>
      </c>
    </row>
    <row r="54">
      <c r="B54" s="238" t="inlineStr">
        <is>
          <t>Principal repayment</t>
        </is>
      </c>
      <c r="C54" s="239">
        <f>IF(49&lt;=Assumptions!$C$12,0,MIN(C52,$C$19))</f>
        <v/>
      </c>
      <c r="D54" s="239">
        <f>IF(50&lt;=Assumptions!$C$12,0,MIN(D52,$C$19))</f>
        <v/>
      </c>
      <c r="E54" s="239">
        <f>IF(51&lt;=Assumptions!$C$12,0,MIN(E52,$C$19))</f>
        <v/>
      </c>
      <c r="F54" s="239">
        <f>IF(52&lt;=Assumptions!$C$12,0,MIN(F52,$C$19))</f>
        <v/>
      </c>
      <c r="G54" s="239">
        <f>IF(53&lt;=Assumptions!$C$12,0,MIN(G52,$C$19))</f>
        <v/>
      </c>
      <c r="H54" s="239">
        <f>IF(54&lt;=Assumptions!$C$12,0,MIN(H52,$C$19))</f>
        <v/>
      </c>
      <c r="I54" s="239">
        <f>IF(55&lt;=Assumptions!$C$12,0,MIN(I52,$C$19))</f>
        <v/>
      </c>
      <c r="J54" s="239">
        <f>IF(56&lt;=Assumptions!$C$12,0,MIN(J52,$C$19))</f>
        <v/>
      </c>
      <c r="K54" s="239">
        <f>IF(57&lt;=Assumptions!$C$12,0,MIN(K52,$C$19))</f>
        <v/>
      </c>
      <c r="L54" s="239">
        <f>IF(58&lt;=Assumptions!$C$12,0,MIN(L52,$C$19))</f>
        <v/>
      </c>
      <c r="M54" s="239">
        <f>IF(59&lt;=Assumptions!$C$12,0,MIN(M52,$C$19))</f>
        <v/>
      </c>
      <c r="N54" s="239">
        <f>IF(60&lt;=Assumptions!$C$12,0,MIN(N52,$C$19))</f>
        <v/>
      </c>
      <c r="O54" s="239">
        <f>SUM(C54:N54)</f>
        <v/>
      </c>
    </row>
    <row r="55">
      <c r="B55" s="246" t="inlineStr">
        <is>
          <t>Closing balance</t>
        </is>
      </c>
      <c r="C55" s="247">
        <f>C52-C54</f>
        <v/>
      </c>
      <c r="D55" s="247">
        <f>D52-D54</f>
        <v/>
      </c>
      <c r="E55" s="247">
        <f>E52-E54</f>
        <v/>
      </c>
      <c r="F55" s="247">
        <f>F52-F54</f>
        <v/>
      </c>
      <c r="G55" s="247">
        <f>G52-G54</f>
        <v/>
      </c>
      <c r="H55" s="247">
        <f>H52-H54</f>
        <v/>
      </c>
      <c r="I55" s="247">
        <f>I52-I54</f>
        <v/>
      </c>
      <c r="J55" s="247">
        <f>J52-J54</f>
        <v/>
      </c>
      <c r="K55" s="247">
        <f>K52-K54</f>
        <v/>
      </c>
      <c r="L55" s="247">
        <f>L52-L54</f>
        <v/>
      </c>
      <c r="M55" s="247">
        <f>M52-M54</f>
        <v/>
      </c>
      <c r="N55" s="247">
        <f>N52-N54</f>
        <v/>
      </c>
      <c r="O55" s="247">
        <f>$G$8</f>
        <v/>
      </c>
    </row>
  </sheetData>
  <mergeCells count="9">
    <mergeCell ref="A29:O29"/>
    <mergeCell ref="A12:O12"/>
    <mergeCell ref="A43:O43"/>
    <mergeCell ref="A2:O2"/>
    <mergeCell ref="A13:O13"/>
    <mergeCell ref="A36:O36"/>
    <mergeCell ref="A1:O1"/>
    <mergeCell ref="A22:O22"/>
    <mergeCell ref="A50:O5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0" t="inlineStr">
        <is>
          <t>EXISTING LOAN  —  take-over or additional facility</t>
        </is>
      </c>
    </row>
    <row r="2">
      <c r="A2" s="261" t="inlineStr">
        <is>
          <t>Set the treatment on Assumptions row 72. On take-over the new term loan clears this debt, so it stops costing interest and leaves the balance sheet; on 'additional' it runs alongside and is part of debt service.</t>
        </is>
      </c>
    </row>
    <row r="3">
      <c r="B3" s="264" t="inlineStr">
        <is>
          <t>Particulars</t>
        </is>
      </c>
      <c r="C3" s="265" t="inlineStr">
        <is>
          <t>Year 1</t>
        </is>
      </c>
      <c r="D3" s="265" t="inlineStr">
        <is>
          <t>Year 2</t>
        </is>
      </c>
      <c r="E3" s="265" t="inlineStr">
        <is>
          <t>Year 3</t>
        </is>
      </c>
      <c r="F3" s="265" t="inlineStr">
        <is>
          <t>Year 4</t>
        </is>
      </c>
      <c r="G3" s="265" t="inlineStr">
        <is>
          <t>Year 5</t>
        </is>
      </c>
    </row>
    <row r="4">
      <c r="B4" s="266" t="inlineStr">
        <is>
          <t>Outstanding today</t>
        </is>
      </c>
      <c r="C4" s="307">
        <f>Assumptions!$C$73</f>
        <v/>
      </c>
      <c r="D4" s="308" t="n"/>
    </row>
    <row r="5">
      <c r="B5" s="266" t="inlineStr">
        <is>
          <t>Interest rate (% p.a.)</t>
        </is>
      </c>
      <c r="C5" s="309">
        <f>Assumptions!$C$74</f>
        <v/>
      </c>
      <c r="D5" s="308" t="n"/>
    </row>
    <row r="6">
      <c r="B6" s="266" t="inlineStr">
        <is>
          <t>Remaining tenure (months) / annual principal</t>
        </is>
      </c>
      <c r="C6" s="307">
        <f>Assumptions!$C$75</f>
        <v/>
      </c>
      <c r="D6" s="307">
        <f>IFERROR(Assumptions!$C$73/(Assumptions!$C$75/12),0)</f>
        <v/>
      </c>
    </row>
    <row r="7">
      <c r="A7" s="275" t="n"/>
      <c r="B7" s="274" t="inlineStr">
        <is>
          <t>A.   AMORTISATION OF THE EXISTING FACILITY  (as if it continues)</t>
        </is>
      </c>
      <c r="C7" s="275" t="n"/>
      <c r="D7" s="275" t="n"/>
      <c r="E7" s="275" t="n"/>
      <c r="F7" s="275" t="n"/>
      <c r="G7" s="275" t="n"/>
    </row>
    <row r="8">
      <c r="B8" s="266" t="inlineStr">
        <is>
          <t>Opening balance</t>
        </is>
      </c>
      <c r="C8" s="268">
        <f>Assumptions!$C$73</f>
        <v/>
      </c>
      <c r="D8" s="268">
        <f>C11</f>
        <v/>
      </c>
      <c r="E8" s="268">
        <f>D11</f>
        <v/>
      </c>
      <c r="F8" s="268">
        <f>E11</f>
        <v/>
      </c>
      <c r="G8" s="268">
        <f>F11</f>
        <v/>
      </c>
    </row>
    <row r="9">
      <c r="B9" s="266" t="inlineStr">
        <is>
          <t>Interest for the year</t>
        </is>
      </c>
      <c r="C9" s="268">
        <f>C8*Assumptions!$C$74</f>
        <v/>
      </c>
      <c r="D9" s="268">
        <f>D8*Assumptions!$C$74</f>
        <v/>
      </c>
      <c r="E9" s="268">
        <f>E8*Assumptions!$C$74</f>
        <v/>
      </c>
      <c r="F9" s="268">
        <f>F8*Assumptions!$C$74</f>
        <v/>
      </c>
      <c r="G9" s="268">
        <f>G8*Assumptions!$C$74</f>
        <v/>
      </c>
    </row>
    <row r="10">
      <c r="B10" s="266" t="inlineStr">
        <is>
          <t>Principal repayment</t>
        </is>
      </c>
      <c r="C10" s="268">
        <f>MIN(C8,$D$6)</f>
        <v/>
      </c>
      <c r="D10" s="268">
        <f>MIN(D8,$D$6)</f>
        <v/>
      </c>
      <c r="E10" s="268">
        <f>MIN(E8,$D$6)</f>
        <v/>
      </c>
      <c r="F10" s="268">
        <f>MIN(F8,$D$6)</f>
        <v/>
      </c>
      <c r="G10" s="268">
        <f>MIN(G8,$D$6)</f>
        <v/>
      </c>
    </row>
    <row r="11">
      <c r="B11" s="270" t="inlineStr">
        <is>
          <t>Closing balance</t>
        </is>
      </c>
      <c r="C11" s="271">
        <f>C8-C10</f>
        <v/>
      </c>
      <c r="D11" s="271">
        <f>D8-D10</f>
        <v/>
      </c>
      <c r="E11" s="271">
        <f>E8-E10</f>
        <v/>
      </c>
      <c r="F11" s="271">
        <f>F8-F10</f>
        <v/>
      </c>
      <c r="G11" s="271">
        <f>G8-G10</f>
        <v/>
      </c>
    </row>
    <row r="13">
      <c r="A13" s="275" t="n"/>
      <c r="B13" s="274" t="inlineStr">
        <is>
          <t>B.   WHAT THE MODEL ACTUALLY CHARGES  (after the treatment switch)</t>
        </is>
      </c>
      <c r="C13" s="275" t="n"/>
      <c r="D13" s="275" t="n"/>
      <c r="E13" s="275" t="n"/>
      <c r="F13" s="275" t="n"/>
      <c r="G13" s="275" t="n"/>
    </row>
    <row r="14">
      <c r="B14" s="270" t="inlineStr">
        <is>
          <t>Interest charged to the P&amp;L</t>
        </is>
      </c>
      <c r="C14" s="271">
        <f>IF(Assumptions!$C$72=2,C9,0)</f>
        <v/>
      </c>
      <c r="D14" s="271">
        <f>IF(Assumptions!$C$72=2,D9,0)</f>
        <v/>
      </c>
      <c r="E14" s="271">
        <f>IF(Assumptions!$C$72=2,E9,0)</f>
        <v/>
      </c>
      <c r="F14" s="271">
        <f>IF(Assumptions!$C$72=2,F9,0)</f>
        <v/>
      </c>
      <c r="G14" s="271">
        <f>IF(Assumptions!$C$72=2,G9,0)</f>
        <v/>
      </c>
    </row>
    <row r="15">
      <c r="B15" s="270" t="inlineStr">
        <is>
          <t>Principal repaid in the year</t>
        </is>
      </c>
      <c r="C15" s="271">
        <f>IF(Assumptions!$C$72=2,C10,0)</f>
        <v/>
      </c>
      <c r="D15" s="271">
        <f>IF(Assumptions!$C$72=2,D10,0)</f>
        <v/>
      </c>
      <c r="E15" s="271">
        <f>IF(Assumptions!$C$72=2,E10,0)</f>
        <v/>
      </c>
      <c r="F15" s="271">
        <f>IF(Assumptions!$C$72=2,F10,0)</f>
        <v/>
      </c>
      <c r="G15" s="271">
        <f>IF(Assumptions!$C$72=2,G10,0)</f>
        <v/>
      </c>
    </row>
    <row r="16">
      <c r="B16" s="270" t="inlineStr">
        <is>
          <t>Closing balance carried to the balance sheet</t>
        </is>
      </c>
      <c r="C16" s="271">
        <f>IF(Assumptions!$C$72=2,C11,0)</f>
        <v/>
      </c>
      <c r="D16" s="271">
        <f>IF(Assumptions!$C$72=2,D11,0)</f>
        <v/>
      </c>
      <c r="E16" s="271">
        <f>IF(Assumptions!$C$72=2,E11,0)</f>
        <v/>
      </c>
      <c r="F16" s="271">
        <f>IF(Assumptions!$C$72=2,F11,0)</f>
        <v/>
      </c>
      <c r="G16" s="271">
        <f>IF(Assumptions!$C$72=2,G11,0)</f>
        <v/>
      </c>
    </row>
    <row r="17">
      <c r="B17" s="266" t="inlineStr">
        <is>
          <t>Taken over by the new term loan (Year 1)</t>
        </is>
      </c>
      <c r="C17" s="268">
        <f>IF(Assumptions!$C$72=1,Assumptions!$C$73,0)</f>
        <v/>
      </c>
      <c r="D17" s="268">
        <f>0</f>
        <v/>
      </c>
      <c r="E17" s="268">
        <f>0</f>
        <v/>
      </c>
      <c r="F17" s="268">
        <f>0</f>
        <v/>
      </c>
      <c r="G17" s="268">
        <f>0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DEBT SERVICE COVERAGE  (DSCR)</t>
        </is>
      </c>
    </row>
    <row r="2" ht="15" customHeight="1" s="82">
      <c r="A2" s="114" t="inlineStr">
        <is>
          <t>Repayment capacity: cash available for debt service ÷ debt obligation.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  <c r="H4" s="148" t="inlineStr">
        <is>
          <t>Average</t>
        </is>
      </c>
    </row>
    <row r="5" ht="16.5" customHeight="1" s="82">
      <c r="B5" s="146" t="inlineStr">
        <is>
          <t>Cash available for debt service (₹)</t>
        </is>
      </c>
    </row>
    <row r="6" ht="15" customHeight="1" s="82">
      <c r="B6" s="144" t="inlineStr">
        <is>
          <t>Profit After Tax</t>
        </is>
      </c>
      <c r="C6" s="140">
        <f>Annual_Summary!C26</f>
        <v/>
      </c>
      <c r="D6" s="140">
        <f>Annual_Summary!D26</f>
        <v/>
      </c>
      <c r="E6" s="140">
        <f>Annual_Summary!E26</f>
        <v/>
      </c>
      <c r="F6" s="140">
        <f>Annual_Summary!F26</f>
        <v/>
      </c>
      <c r="G6" s="140">
        <f>Annual_Summary!G26</f>
        <v/>
      </c>
    </row>
    <row r="7" ht="15" customHeight="1" s="82">
      <c r="B7" s="144" t="inlineStr">
        <is>
          <t>(+) Depreciation</t>
        </is>
      </c>
      <c r="C7" s="140">
        <f>Annual_Summary!C18</f>
        <v/>
      </c>
      <c r="D7" s="140">
        <f>Annual_Summary!D18</f>
        <v/>
      </c>
      <c r="E7" s="140">
        <f>Annual_Summary!E18</f>
        <v/>
      </c>
      <c r="F7" s="140">
        <f>Annual_Summary!F18</f>
        <v/>
      </c>
      <c r="G7" s="140">
        <f>Annual_Summary!G18</f>
        <v/>
      </c>
    </row>
    <row r="8" ht="15" customHeight="1" s="82">
      <c r="B8" s="144" t="inlineStr">
        <is>
          <t>(+) Interest on Term Loan</t>
        </is>
      </c>
      <c r="C8" s="140">
        <f>Repayment!C6+'Existing Loan'!C14</f>
        <v/>
      </c>
      <c r="D8" s="140">
        <f>Repayment!D6+'Existing Loan'!D14</f>
        <v/>
      </c>
      <c r="E8" s="140">
        <f>Repayment!E6+'Existing Loan'!E14</f>
        <v/>
      </c>
      <c r="F8" s="140">
        <f>Repayment!F6+'Existing Loan'!F14</f>
        <v/>
      </c>
      <c r="G8" s="140">
        <f>Repayment!G6+'Existing Loan'!G14</f>
        <v/>
      </c>
    </row>
    <row r="9" ht="15" customHeight="1" s="82">
      <c r="B9" s="137" t="inlineStr">
        <is>
          <t>Cash Available for Debt Service (A)</t>
        </is>
      </c>
      <c r="C9" s="139">
        <f>C6+C7+C8</f>
        <v/>
      </c>
      <c r="D9" s="139">
        <f>D6+D7+D8</f>
        <v/>
      </c>
      <c r="E9" s="139">
        <f>E6+E7+E8</f>
        <v/>
      </c>
      <c r="F9" s="139">
        <f>F6+F7+F8</f>
        <v/>
      </c>
      <c r="G9" s="139">
        <f>G6+G7+G8</f>
        <v/>
      </c>
    </row>
    <row r="10" ht="16.5" customHeight="1" s="82">
      <c r="B10" s="146" t="inlineStr">
        <is>
          <t>Debt obligation (₹)</t>
        </is>
      </c>
    </row>
    <row r="11" ht="15" customHeight="1" s="82">
      <c r="B11" s="144" t="inlineStr">
        <is>
          <t>Principal repayment</t>
        </is>
      </c>
      <c r="C11" s="140">
        <f>Repayment!C7+'Existing Loan'!C15</f>
        <v/>
      </c>
      <c r="D11" s="140">
        <f>Repayment!D7+'Existing Loan'!D15</f>
        <v/>
      </c>
      <c r="E11" s="140">
        <f>Repayment!E7+'Existing Loan'!E15</f>
        <v/>
      </c>
      <c r="F11" s="140">
        <f>Repayment!F7+'Existing Loan'!F15</f>
        <v/>
      </c>
      <c r="G11" s="140">
        <f>Repayment!G7+'Existing Loan'!G15</f>
        <v/>
      </c>
    </row>
    <row r="12" ht="15" customHeight="1" s="82">
      <c r="B12" s="144" t="inlineStr">
        <is>
          <t>Interest on Term Loan</t>
        </is>
      </c>
      <c r="C12" s="140">
        <f>Repayment!C6+'Existing Loan'!C14</f>
        <v/>
      </c>
      <c r="D12" s="140">
        <f>Repayment!D6+'Existing Loan'!D14</f>
        <v/>
      </c>
      <c r="E12" s="140">
        <f>Repayment!E6+'Existing Loan'!E14</f>
        <v/>
      </c>
      <c r="F12" s="140">
        <f>Repayment!F6+'Existing Loan'!F14</f>
        <v/>
      </c>
      <c r="G12" s="140">
        <f>Repayment!G6+'Existing Loan'!G14</f>
        <v/>
      </c>
    </row>
    <row r="13" ht="15" customHeight="1" s="82">
      <c r="B13" s="137" t="inlineStr">
        <is>
          <t>Total Debt Obligation (B)</t>
        </is>
      </c>
      <c r="C13" s="139">
        <f>C11+C12</f>
        <v/>
      </c>
      <c r="D13" s="139">
        <f>D11+D12</f>
        <v/>
      </c>
      <c r="E13" s="139">
        <f>E11+E12</f>
        <v/>
      </c>
      <c r="F13" s="139">
        <f>F11+F12</f>
        <v/>
      </c>
      <c r="G13" s="139">
        <f>G11+G12</f>
        <v/>
      </c>
    </row>
    <row r="14" ht="15" customHeight="1" s="82">
      <c r="B14" s="137" t="inlineStr">
        <is>
          <t>DSCR  (A ÷ B)</t>
        </is>
      </c>
      <c r="C14" s="149">
        <f>IFERROR(C9/C13,0)</f>
        <v/>
      </c>
      <c r="D14" s="149">
        <f>IFERROR(D9/D13,0)</f>
        <v/>
      </c>
      <c r="E14" s="149">
        <f>IFERROR(E9/E13,0)</f>
        <v/>
      </c>
      <c r="F14" s="149">
        <f>IFERROR(F9/F13,0)</f>
        <v/>
      </c>
      <c r="G14" s="149">
        <f>IFERROR(G9/G13,0)</f>
        <v/>
      </c>
      <c r="H14" s="149">
        <f>IFERROR(AVERAGE(C14:G14),0)</f>
        <v/>
      </c>
    </row>
  </sheetData>
  <mergeCells count="4">
    <mergeCell ref="B5:H5"/>
    <mergeCell ref="A2:H2"/>
    <mergeCell ref="B10:H10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FINANCIAL VIABILITY  —  KEY RATIOS</t>
        </is>
      </c>
    </row>
    <row r="2" ht="15" customHeight="1" s="82">
      <c r="A2" s="114" t="inlineStr">
        <is>
          <t>Liquidity, leverage, profitability and coverage indicators for appraisal.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LIQUIDITY &amp; LEVERAGE</t>
        </is>
      </c>
    </row>
    <row r="6" ht="15" customHeight="1" s="82">
      <c r="B6" s="137" t="inlineStr">
        <is>
          <t>Current Ratio</t>
        </is>
      </c>
      <c r="C6" s="149">
        <f>IFERROR((Form_III_BalanceSheet!C18+Form_III_BalanceSheet!C19+Form_III_BalanceSheet!C20)/(Form_III_BalanceSheet!C11+Form_III_BalanceSheet!C12+Form_III_BalanceSheet!C10),0)</f>
        <v/>
      </c>
      <c r="D6" s="149">
        <f>IFERROR((Form_III_BalanceSheet!D18+Form_III_BalanceSheet!D19+Form_III_BalanceSheet!D20)/(Form_III_BalanceSheet!D11+Form_III_BalanceSheet!D12+Form_III_BalanceSheet!D10),0)</f>
        <v/>
      </c>
      <c r="E6" s="149">
        <f>IFERROR((Form_III_BalanceSheet!E18+Form_III_BalanceSheet!E19+Form_III_BalanceSheet!E20)/(Form_III_BalanceSheet!E11+Form_III_BalanceSheet!E12+Form_III_BalanceSheet!E10),0)</f>
        <v/>
      </c>
      <c r="F6" s="149">
        <f>IFERROR((Form_III_BalanceSheet!F18+Form_III_BalanceSheet!F19+Form_III_BalanceSheet!F20)/(Form_III_BalanceSheet!F11+Form_III_BalanceSheet!F12+Form_III_BalanceSheet!F10),0)</f>
        <v/>
      </c>
      <c r="G6" s="149">
        <f>IFERROR((Form_III_BalanceSheet!G18+Form_III_BalanceSheet!G19+Form_III_BalanceSheet!G20)/(Form_III_BalanceSheet!G11+Form_III_BalanceSheet!G12+Form_III_BalanceSheet!G10),0)</f>
        <v/>
      </c>
    </row>
    <row r="7" ht="15" customHeight="1" s="82">
      <c r="B7" s="88" t="inlineStr">
        <is>
          <t>Debt–Equity Ratio</t>
        </is>
      </c>
      <c r="C7" s="150">
        <f>IFERROR((Form_III_BalanceSheet!C9+Form_III_BalanceSheet!C10)/Form_III_BalanceSheet!C8,0)</f>
        <v/>
      </c>
      <c r="D7" s="150">
        <f>IFERROR((Form_III_BalanceSheet!D9+Form_III_BalanceSheet!D10)/Form_III_BalanceSheet!D8,0)</f>
        <v/>
      </c>
      <c r="E7" s="150">
        <f>IFERROR((Form_III_BalanceSheet!E9+Form_III_BalanceSheet!E10)/Form_III_BalanceSheet!E8,0)</f>
        <v/>
      </c>
      <c r="F7" s="150">
        <f>IFERROR((Form_III_BalanceSheet!F9+Form_III_BalanceSheet!F10)/Form_III_BalanceSheet!F8,0)</f>
        <v/>
      </c>
      <c r="G7" s="150">
        <f>IFERROR((Form_III_BalanceSheet!G9+Form_III_BalanceSheet!G10)/Form_III_BalanceSheet!G8,0)</f>
        <v/>
      </c>
    </row>
    <row r="8" ht="15" customHeight="1" s="82">
      <c r="B8" s="88" t="inlineStr">
        <is>
          <t>TOL / TNW</t>
        </is>
      </c>
      <c r="C8" s="150">
        <f>IFERROR((Form_III_BalanceSheet!C9+Form_III_BalanceSheet!C10+Form_III_BalanceSheet!C11+Form_III_BalanceSheet!C12)/Form_III_BalanceSheet!C8,0)</f>
        <v/>
      </c>
      <c r="D8" s="150">
        <f>IFERROR((Form_III_BalanceSheet!D9+Form_III_BalanceSheet!D10+Form_III_BalanceSheet!D11+Form_III_BalanceSheet!D12)/Form_III_BalanceSheet!D8,0)</f>
        <v/>
      </c>
      <c r="E8" s="150">
        <f>IFERROR((Form_III_BalanceSheet!E9+Form_III_BalanceSheet!E10+Form_III_BalanceSheet!E11+Form_III_BalanceSheet!E12)/Form_III_BalanceSheet!E8,0)</f>
        <v/>
      </c>
      <c r="F8" s="150">
        <f>IFERROR((Form_III_BalanceSheet!F9+Form_III_BalanceSheet!F10+Form_III_BalanceSheet!F11+Form_III_BalanceSheet!F12)/Form_III_BalanceSheet!F8,0)</f>
        <v/>
      </c>
      <c r="G8" s="150">
        <f>IFERROR((Form_III_BalanceSheet!G9+Form_III_BalanceSheet!G10+Form_III_BalanceSheet!G11+Form_III_BalanceSheet!G12)/Form_III_BalanceSheet!G8,0)</f>
        <v/>
      </c>
    </row>
    <row r="9" ht="16.5" customHeight="1" s="82">
      <c r="B9" s="146" t="inlineStr">
        <is>
          <t>PROFITABILITY</t>
        </is>
      </c>
    </row>
    <row r="10" ht="15" customHeight="1" s="82">
      <c r="B10" s="88" t="inlineStr">
        <is>
          <t>EBITDA Margin</t>
        </is>
      </c>
      <c r="C10" s="151">
        <f>IFERROR(Annual_Summary!C22/Annual_Summary!C8,0)</f>
        <v/>
      </c>
      <c r="D10" s="151">
        <f>IFERROR(Annual_Summary!D22/Annual_Summary!D8,0)</f>
        <v/>
      </c>
      <c r="E10" s="151">
        <f>IFERROR(Annual_Summary!E22/Annual_Summary!E8,0)</f>
        <v/>
      </c>
      <c r="F10" s="151">
        <f>IFERROR(Annual_Summary!F22/Annual_Summary!F8,0)</f>
        <v/>
      </c>
      <c r="G10" s="151">
        <f>IFERROR(Annual_Summary!G22/Annual_Summary!G8,0)</f>
        <v/>
      </c>
    </row>
    <row r="11" ht="15" customHeight="1" s="82">
      <c r="B11" s="88" t="inlineStr">
        <is>
          <t>Net Profit Margin</t>
        </is>
      </c>
      <c r="C11" s="151">
        <f>IFERROR(Annual_Summary!C26/Annual_Summary!C8,0)</f>
        <v/>
      </c>
      <c r="D11" s="151">
        <f>IFERROR(Annual_Summary!D26/Annual_Summary!D8,0)</f>
        <v/>
      </c>
      <c r="E11" s="151">
        <f>IFERROR(Annual_Summary!E26/Annual_Summary!E8,0)</f>
        <v/>
      </c>
      <c r="F11" s="151">
        <f>IFERROR(Annual_Summary!F26/Annual_Summary!F8,0)</f>
        <v/>
      </c>
      <c r="G11" s="151">
        <f>IFERROR(Annual_Summary!G26/Annual_Summary!G8,0)</f>
        <v/>
      </c>
    </row>
    <row r="12" ht="15" customHeight="1" s="82">
      <c r="B12" s="88" t="inlineStr">
        <is>
          <t>Return on Capital Employed</t>
        </is>
      </c>
      <c r="C12" s="151">
        <f>IFERROR(Annual_Summary!C23/(Form_III_BalanceSheet!C8+Form_III_BalanceSheet!C9),0)</f>
        <v/>
      </c>
      <c r="D12" s="151">
        <f>IFERROR(Annual_Summary!D23/(Form_III_BalanceSheet!D8+Form_III_BalanceSheet!D9),0)</f>
        <v/>
      </c>
      <c r="E12" s="151">
        <f>IFERROR(Annual_Summary!E23/(Form_III_BalanceSheet!E8+Form_III_BalanceSheet!E9),0)</f>
        <v/>
      </c>
      <c r="F12" s="151">
        <f>IFERROR(Annual_Summary!F23/(Form_III_BalanceSheet!F8+Form_III_BalanceSheet!F9),0)</f>
        <v/>
      </c>
      <c r="G12" s="151">
        <f>IFERROR(Annual_Summary!G23/(Form_III_BalanceSheet!G8+Form_III_BalanceSheet!G9),0)</f>
        <v/>
      </c>
    </row>
    <row r="13" ht="16.5" customHeight="1" s="82">
      <c r="B13" s="146" t="inlineStr">
        <is>
          <t>COVERAGE &amp; RISK</t>
        </is>
      </c>
    </row>
    <row r="14" ht="15" customHeight="1" s="82">
      <c r="B14" s="88" t="inlineStr">
        <is>
          <t>Interest Coverage</t>
        </is>
      </c>
      <c r="C14" s="150">
        <f>IFERROR(Annual_Summary!C23/(Annual_Summary!C19+Annual_Summary!C20),0)</f>
        <v/>
      </c>
      <c r="D14" s="150">
        <f>IFERROR(Annual_Summary!D23/(Annual_Summary!D19+Annual_Summary!D20),0)</f>
        <v/>
      </c>
      <c r="E14" s="150">
        <f>IFERROR(Annual_Summary!E23/(Annual_Summary!E19+Annual_Summary!E20),0)</f>
        <v/>
      </c>
      <c r="F14" s="150">
        <f>IFERROR(Annual_Summary!F23/(Annual_Summary!F19+Annual_Summary!F20),0)</f>
        <v/>
      </c>
      <c r="G14" s="150">
        <f>IFERROR(Annual_Summary!G23/(Annual_Summary!G19+Annual_Summary!G20),0)</f>
        <v/>
      </c>
    </row>
    <row r="15" ht="15" customHeight="1" s="82">
      <c r="B15" s="137" t="inlineStr">
        <is>
          <t>DSCR</t>
        </is>
      </c>
      <c r="C15" s="152">
        <f>DSCR!C14</f>
        <v/>
      </c>
      <c r="D15" s="152">
        <f>DSCR!D14</f>
        <v/>
      </c>
      <c r="E15" s="152">
        <f>DSCR!E14</f>
        <v/>
      </c>
      <c r="F15" s="152">
        <f>DSCR!F14</f>
        <v/>
      </c>
      <c r="G15" s="152">
        <f>DSCR!G14</f>
        <v/>
      </c>
    </row>
    <row r="16" ht="15" customHeight="1" s="82">
      <c r="B16" s="88" t="inlineStr">
        <is>
          <t>Break-even (% of sales)</t>
        </is>
      </c>
      <c r="C16" s="151">
        <f>IFERROR((Annual_Summary!C12+Annual_Summary!C14+Annual_Summary!C15+Annual_Summary!C16+Annual_Summary!C18+Annual_Summary!C19+Annual_Summary!C20)/(Annual_Summary!C8-(Annual_Summary!C10+Annual_Summary!C11+Annual_Summary!C13+Annual_Summary!C17)),0)</f>
        <v/>
      </c>
      <c r="D16" s="151">
        <f>IFERROR((Annual_Summary!D12+Annual_Summary!D14+Annual_Summary!D15+Annual_Summary!D16+Annual_Summary!D18+Annual_Summary!D19+Annual_Summary!D20)/(Annual_Summary!D8-(Annual_Summary!D10+Annual_Summary!D11+Annual_Summary!D13+Annual_Summary!D17)),0)</f>
        <v/>
      </c>
      <c r="E16" s="151">
        <f>IFERROR((Annual_Summary!E12+Annual_Summary!E14+Annual_Summary!E15+Annual_Summary!E16+Annual_Summary!E18+Annual_Summary!E19+Annual_Summary!E20)/(Annual_Summary!E8-(Annual_Summary!E10+Annual_Summary!E11+Annual_Summary!E13+Annual_Summary!E17)),0)</f>
        <v/>
      </c>
      <c r="F16" s="151">
        <f>IFERROR((Annual_Summary!F12+Annual_Summary!F14+Annual_Summary!F15+Annual_Summary!F16+Annual_Summary!F18+Annual_Summary!F19+Annual_Summary!F20)/(Annual_Summary!F8-(Annual_Summary!F10+Annual_Summary!F11+Annual_Summary!F13+Annual_Summary!F17)),0)</f>
        <v/>
      </c>
      <c r="G16" s="151">
        <f>IFERROR((Annual_Summary!G12+Annual_Summary!G14+Annual_Summary!G15+Annual_Summary!G16+Annual_Summary!G18+Annual_Summary!G19+Annual_Summary!G20)/(Annual_Summary!G8-(Annual_Summary!G10+Annual_Summary!G11+Annual_Summary!G13+Annual_Summary!G17)),0)</f>
        <v/>
      </c>
    </row>
  </sheetData>
  <mergeCells count="5">
    <mergeCell ref="B9:H9"/>
    <mergeCell ref="B13:H13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selection activeCell="A1" sqref="A1"/>
    </sheetView>
  </sheetViews>
  <sheetFormatPr baseColWidth="8" defaultRowHeight="15"/>
  <cols>
    <col width="2.5" customWidth="1" style="82" min="1" max="1"/>
    <col width="34" customWidth="1" style="82" min="2" max="2"/>
    <col width="14" customWidth="1" style="82" min="3" max="3"/>
    <col width="14" customWidth="1" style="82" min="4" max="4"/>
    <col width="14" customWidth="1" style="82" min="5" max="5"/>
    <col width="14" customWidth="1" style="82" min="6" max="6"/>
    <col width="14" customWidth="1" style="82" min="7" max="7"/>
    <col width="14" customWidth="1" style="82" min="8" max="8"/>
  </cols>
  <sheetData>
    <row r="2" ht="30" customHeight="1" s="82">
      <c r="B2" s="154" t="inlineStr">
        <is>
          <t>CONCLUSION &amp; SUMMARY ANALYSIS</t>
        </is>
      </c>
    </row>
    <row r="3">
      <c r="B3" s="155" t="inlineStr">
        <is>
          <t>Executive verdict on financial viability and bankability of the project</t>
        </is>
      </c>
    </row>
    <row r="5" ht="20" customHeight="1" s="82">
      <c r="B5" s="156" t="inlineStr">
        <is>
          <t>PROJECT SNAPSHOT</t>
        </is>
      </c>
    </row>
    <row r="6">
      <c r="B6" s="157" t="inlineStr">
        <is>
          <t>Name of the Unit</t>
        </is>
      </c>
      <c r="C6" s="184">
        <f>Assumptions!C5</f>
        <v/>
      </c>
      <c r="D6" s="181" t="n"/>
      <c r="E6" s="181" t="n"/>
      <c r="F6" s="181" t="n"/>
      <c r="G6" s="181" t="n"/>
      <c r="H6" s="181" t="n"/>
    </row>
    <row r="7">
      <c r="B7" s="157" t="inlineStr">
        <is>
          <t>Constitution</t>
        </is>
      </c>
      <c r="C7" s="184">
        <f>Assumptions!C6</f>
        <v/>
      </c>
      <c r="D7" s="181" t="n"/>
      <c r="E7" s="181" t="n"/>
      <c r="F7" s="181" t="n"/>
      <c r="G7" s="181" t="n"/>
      <c r="H7" s="181" t="n"/>
    </row>
    <row r="8">
      <c r="B8" s="157" t="inlineStr">
        <is>
          <t>Line of Activity</t>
        </is>
      </c>
      <c r="C8" s="184">
        <f>Assumptions!C7</f>
        <v/>
      </c>
      <c r="D8" s="181" t="n"/>
      <c r="E8" s="181" t="n"/>
      <c r="F8" s="181" t="n"/>
      <c r="G8" s="181" t="n"/>
      <c r="H8" s="181" t="n"/>
    </row>
    <row r="9">
      <c r="B9" s="157" t="inlineStr">
        <is>
          <t>Industry</t>
        </is>
      </c>
      <c r="C9" s="184">
        <f>Assumptions!J5</f>
        <v/>
      </c>
      <c r="D9" s="181" t="n"/>
      <c r="E9" s="181" t="n"/>
      <c r="F9" s="181" t="n"/>
      <c r="G9" s="181" t="n"/>
      <c r="H9" s="181" t="n"/>
    </row>
    <row r="10">
      <c r="B10" s="157" t="inlineStr">
        <is>
          <t>Term Loan applied for (₹)</t>
        </is>
      </c>
      <c r="C10" s="185">
        <f>Assumptions!C8</f>
        <v/>
      </c>
      <c r="D10" s="181" t="n"/>
      <c r="E10" s="181" t="n"/>
      <c r="F10" s="181" t="n"/>
      <c r="G10" s="181" t="n"/>
      <c r="H10" s="181" t="n"/>
    </row>
    <row r="11">
      <c r="B11" s="157" t="inlineStr">
        <is>
          <t>Promoters' Capital (₹)</t>
        </is>
      </c>
      <c r="C11" s="185">
        <f>Assumptions!C9</f>
        <v/>
      </c>
      <c r="D11" s="181" t="n"/>
      <c r="E11" s="181" t="n"/>
      <c r="F11" s="181" t="n"/>
      <c r="G11" s="181" t="n"/>
      <c r="H11" s="181" t="n"/>
    </row>
    <row r="13" ht="20" customHeight="1" s="82">
      <c r="B13" s="156" t="inlineStr">
        <is>
          <t>KEY FINANCIAL INDICATORS  (₹, all five years)</t>
        </is>
      </c>
    </row>
    <row r="14">
      <c r="B14" s="160" t="inlineStr">
        <is>
          <t>Particulars</t>
        </is>
      </c>
      <c r="C14" s="161" t="inlineStr">
        <is>
          <t>Year 1</t>
        </is>
      </c>
      <c r="D14" s="161" t="inlineStr">
        <is>
          <t>Year 2</t>
        </is>
      </c>
      <c r="E14" s="161" t="inlineStr">
        <is>
          <t>Year 3</t>
        </is>
      </c>
      <c r="F14" s="161" t="inlineStr">
        <is>
          <t>Year 4</t>
        </is>
      </c>
      <c r="G14" s="161" t="inlineStr">
        <is>
          <t>Year 5</t>
        </is>
      </c>
    </row>
    <row r="15">
      <c r="B15" s="162" t="inlineStr">
        <is>
          <t>Net Sales / Revenue</t>
        </is>
      </c>
      <c r="C15" s="163">
        <f>Annual_Summary!C8</f>
        <v/>
      </c>
      <c r="D15" s="163">
        <f>Annual_Summary!D8</f>
        <v/>
      </c>
      <c r="E15" s="163">
        <f>Annual_Summary!E8</f>
        <v/>
      </c>
      <c r="F15" s="163">
        <f>Annual_Summary!F8</f>
        <v/>
      </c>
      <c r="G15" s="163">
        <f>Annual_Summary!G8</f>
        <v/>
      </c>
    </row>
    <row r="16">
      <c r="B16" s="164" t="inlineStr">
        <is>
          <t>EBITDA</t>
        </is>
      </c>
      <c r="C16" s="165">
        <f>Annual_Summary!C22</f>
        <v/>
      </c>
      <c r="D16" s="165">
        <f>Annual_Summary!D22</f>
        <v/>
      </c>
      <c r="E16" s="165">
        <f>Annual_Summary!E22</f>
        <v/>
      </c>
      <c r="F16" s="165">
        <f>Annual_Summary!F22</f>
        <v/>
      </c>
      <c r="G16" s="165">
        <f>Annual_Summary!G22</f>
        <v/>
      </c>
    </row>
    <row r="17">
      <c r="B17" s="162" t="inlineStr">
        <is>
          <t>Profit After Tax (PAT)</t>
        </is>
      </c>
      <c r="C17" s="163">
        <f>Annual_Summary!C26</f>
        <v/>
      </c>
      <c r="D17" s="163">
        <f>Annual_Summary!D26</f>
        <v/>
      </c>
      <c r="E17" s="163">
        <f>Annual_Summary!E26</f>
        <v/>
      </c>
      <c r="F17" s="163">
        <f>Annual_Summary!F26</f>
        <v/>
      </c>
      <c r="G17" s="163">
        <f>Annual_Summary!G26</f>
        <v/>
      </c>
    </row>
    <row r="18">
      <c r="B18" s="164" t="inlineStr">
        <is>
          <t>Cash Accrual (PAT + Dep.)</t>
        </is>
      </c>
      <c r="C18" s="165">
        <f>Annual_Summary!C27</f>
        <v/>
      </c>
      <c r="D18" s="165">
        <f>Annual_Summary!D27</f>
        <v/>
      </c>
      <c r="E18" s="165">
        <f>Annual_Summary!E27</f>
        <v/>
      </c>
      <c r="F18" s="165">
        <f>Annual_Summary!F27</f>
        <v/>
      </c>
      <c r="G18" s="165">
        <f>Annual_Summary!G27</f>
        <v/>
      </c>
    </row>
    <row r="19">
      <c r="B19" s="162" t="inlineStr">
        <is>
          <t>Current Ratio</t>
        </is>
      </c>
      <c r="C19" s="166">
        <f>Ratios!C6</f>
        <v/>
      </c>
      <c r="D19" s="166">
        <f>Ratios!D6</f>
        <v/>
      </c>
      <c r="E19" s="166">
        <f>Ratios!E6</f>
        <v/>
      </c>
      <c r="F19" s="166">
        <f>Ratios!F6</f>
        <v/>
      </c>
      <c r="G19" s="166">
        <f>Ratios!G6</f>
        <v/>
      </c>
    </row>
    <row r="20">
      <c r="B20" s="164" t="inlineStr">
        <is>
          <t>Debt–Equity Ratio</t>
        </is>
      </c>
      <c r="C20" s="167">
        <f>Ratios!C7</f>
        <v/>
      </c>
      <c r="D20" s="167">
        <f>Ratios!D7</f>
        <v/>
      </c>
      <c r="E20" s="167">
        <f>Ratios!E7</f>
        <v/>
      </c>
      <c r="F20" s="167">
        <f>Ratios!F7</f>
        <v/>
      </c>
      <c r="G20" s="167">
        <f>Ratios!G7</f>
        <v/>
      </c>
    </row>
    <row r="21">
      <c r="B21" s="162" t="inlineStr">
        <is>
          <t>Net Profit Margin</t>
        </is>
      </c>
      <c r="C21" s="168">
        <f>Ratios!C11</f>
        <v/>
      </c>
      <c r="D21" s="168">
        <f>Ratios!D11</f>
        <v/>
      </c>
      <c r="E21" s="168">
        <f>Ratios!E11</f>
        <v/>
      </c>
      <c r="F21" s="168">
        <f>Ratios!F11</f>
        <v/>
      </c>
      <c r="G21" s="168">
        <f>Ratios!G11</f>
        <v/>
      </c>
    </row>
    <row r="22">
      <c r="B22" s="164" t="inlineStr">
        <is>
          <t>DSCR</t>
        </is>
      </c>
      <c r="C22" s="167">
        <f>DSCR!C14</f>
        <v/>
      </c>
      <c r="D22" s="167">
        <f>DSCR!D14</f>
        <v/>
      </c>
      <c r="E22" s="167">
        <f>DSCR!E14</f>
        <v/>
      </c>
      <c r="F22" s="167">
        <f>DSCR!F14</f>
        <v/>
      </c>
      <c r="G22" s="167">
        <f>DSCR!G14</f>
        <v/>
      </c>
    </row>
    <row r="24" ht="20" customHeight="1" s="82">
      <c r="B24" s="156" t="inlineStr">
        <is>
          <t>BANKABILITY VERDICT</t>
        </is>
      </c>
    </row>
    <row r="25">
      <c r="B25" s="169" t="inlineStr">
        <is>
          <t>Average DSCR (5-yr)</t>
        </is>
      </c>
      <c r="C25" s="170">
        <f>AVERAGE(DSCR!C14:G14)</f>
        <v/>
      </c>
      <c r="D25" s="171">
        <f>IFERROR(IF(OR(MAX(Annual_Summary!C22/Annual_Summary!C8,Annual_Summary!D22/Annual_Summary!D8,Annual_Summary!E22/Annual_Summary!E8,Annual_Summary!F22/Annual_Summary!F8,Annual_Summary!G22/Annual_Summary!G8)&gt;0.4,Annual_Summary!C8/(C10+C11)&lt;0.3,Annual_Summary!C8/(C10+C11)&gt;8,AVERAGE(DSCR!C14:G14)&gt;10),"REVIEW REQUIRED — figures need verification (EBITDA margin, revenue/cost scale, or DSCR outside normal range)",IF(AND(AVERAGE(DSCR!C14:G14)&gt;=1.5,MIN(DSCR!C14:G14)&gt;=1.25),"STRONG — comfortably serviceable (avg DSCR &gt;= 1.50, minimum-year DSCR &gt;= 1.25)",IF(AND(AVERAGE(DSCR!C14:G14)&gt;=1.2,MIN(DSCR!C14:G14)&gt;=1.0),"BANKABLE — meets the 1.20 minimum average DSCR with no year below 1.00","BELOW NORM — average or minimum-year DSCR under the bank floor"))),"REVIEW REQUIRED — could not verify DSCR / scale ratios (check inputs)")</f>
        <v/>
      </c>
    </row>
    <row r="26">
      <c r="B26" s="81" t="inlineStr">
        <is>
          <t>Minimum DSCR (5-yr)</t>
        </is>
      </c>
      <c r="C26" s="81">
        <f>MIN(DSCR!C14:G14)</f>
        <v/>
      </c>
    </row>
    <row r="27" ht="20" customHeight="1" s="82">
      <c r="B27" s="156" t="inlineStr">
        <is>
          <t>CONCLUSION</t>
        </is>
      </c>
    </row>
    <row r="28" ht="150" customHeight="1" s="82">
      <c r="B28" s="172" t="n"/>
      <c r="C28" s="182" t="n"/>
      <c r="D28" s="182" t="n"/>
      <c r="E28" s="182" t="n"/>
      <c r="F28" s="182" t="n"/>
      <c r="G28" s="182" t="n"/>
      <c r="H28" s="183" t="n"/>
    </row>
  </sheetData>
  <mergeCells count="14">
    <mergeCell ref="C11:H11"/>
    <mergeCell ref="C6:H6"/>
    <mergeCell ref="C10:H10"/>
    <mergeCell ref="D25:H25"/>
    <mergeCell ref="B27:H27"/>
    <mergeCell ref="B13:H13"/>
    <mergeCell ref="C9:H9"/>
    <mergeCell ref="B24:H24"/>
    <mergeCell ref="B2:H2"/>
    <mergeCell ref="C8:H8"/>
    <mergeCell ref="B3:H3"/>
    <mergeCell ref="B5:H5"/>
    <mergeCell ref="C7:H7"/>
    <mergeCell ref="B28:H28"/>
  </mergeCells>
  <pageMargins left="0.5" right="0.5" top="0.6" bottom="0.6" header="0.5" footer="0.5"/>
  <pageSetup orientation="portrait" fitToHeight="0" fitToWidth="1"/>
  <headerFooter>
    <oddHeader>&amp;C&amp;"Arial"&amp;BCONCLUSION &amp; SUMMARY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S8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2" customWidth="1" style="82" min="1" max="1"/>
    <col width="17" customWidth="1" style="82" min="2" max="2"/>
    <col width="13" customWidth="1" style="82" min="3" max="3"/>
    <col width="6" customWidth="1" style="82" min="4" max="4"/>
    <col width="3.2" customWidth="1" style="82" min="5" max="5"/>
    <col width="17" customWidth="1" style="82" min="6" max="6"/>
    <col width="13" customWidth="1" style="82" min="7" max="7"/>
    <col width="6" customWidth="1" style="82" min="8" max="8"/>
    <col width="3.2" customWidth="1" style="82" min="9" max="9"/>
    <col width="17" customWidth="1" style="82" min="10" max="10"/>
    <col width="13" customWidth="1" style="82" min="11" max="11"/>
    <col width="6" customWidth="1" style="82" min="12" max="12"/>
    <col width="3.2" customWidth="1" style="82" min="13" max="13"/>
    <col width="17" customWidth="1" style="82" min="14" max="14"/>
    <col width="13" customWidth="1" style="82" min="15" max="15"/>
    <col width="6" customWidth="1" style="82" min="16" max="16"/>
    <col width="3" customWidth="1" style="82" min="17" max="17"/>
    <col width="3" customWidth="1" style="82" min="18" max="18"/>
    <col width="3" customWidth="1" style="82" min="19" max="19"/>
  </cols>
  <sheetData>
    <row r="1" ht="20" customHeight="1" s="82">
      <c r="B1" s="92" t="inlineStr">
        <is>
          <t>INVESTMENT DASHBOARD</t>
        </is>
      </c>
    </row>
    <row r="2" ht="16" customHeight="1" s="82"/>
    <row r="3" ht="16" customHeight="1" s="82">
      <c r="B3" s="93" t="inlineStr">
        <is>
          <t>Bank &amp; investor summary — every figure is a live formula and recalculates from the Assumptions sheet.</t>
        </is>
      </c>
    </row>
    <row r="4" ht="18" customHeight="1" s="82">
      <c r="B4" s="94" t="inlineStr">
        <is>
          <t>SNAPSHOT YEAR →</t>
        </is>
      </c>
      <c r="C4" s="153" t="n">
        <v>1</v>
      </c>
      <c r="D4" s="96" t="inlineStr">
        <is>
          <t>← pick 1-5; the four cards below follow it</t>
        </is>
      </c>
    </row>
    <row r="6" ht="14" customHeight="1" s="82">
      <c r="B6" s="97" t="inlineStr">
        <is>
          <t>REVENUE</t>
        </is>
      </c>
      <c r="C6" s="105" t="n"/>
      <c r="D6" s="106" t="n"/>
      <c r="F6" s="97" t="inlineStr">
        <is>
          <t>EBITDA</t>
        </is>
      </c>
      <c r="G6" s="105" t="n"/>
      <c r="H6" s="106" t="n"/>
      <c r="J6" s="97" t="inlineStr">
        <is>
          <t>NET PROFIT (PAT)</t>
        </is>
      </c>
      <c r="K6" s="105" t="n"/>
      <c r="L6" s="106" t="n"/>
      <c r="N6" s="97" t="inlineStr">
        <is>
          <t>CASH &amp; BANK</t>
        </is>
      </c>
      <c r="O6" s="105" t="n"/>
      <c r="P6" s="106" t="n"/>
    </row>
    <row r="7" ht="22" customHeight="1" s="82">
      <c r="B7" s="99">
        <f>INDEX(Annual_Summary!$C$8:$G$8,1,$C$4)</f>
        <v/>
      </c>
      <c r="C7" s="105" t="n"/>
      <c r="D7" s="106" t="n"/>
      <c r="F7" s="99">
        <f>INDEX(Annual_Summary!$C$22:$G$22,1,$C$4)</f>
        <v/>
      </c>
      <c r="G7" s="105" t="n"/>
      <c r="H7" s="106" t="n"/>
      <c r="J7" s="99">
        <f>INDEX(Annual_Summary!$C$26:$G$26,1,$C$4)</f>
        <v/>
      </c>
      <c r="K7" s="105" t="n"/>
      <c r="L7" s="106" t="n"/>
      <c r="N7" s="99">
        <f>INDEX(Form_III_BalanceSheet!$C$20:$G$20,1,$C$4)</f>
        <v/>
      </c>
      <c r="O7" s="105" t="n"/>
      <c r="P7" s="106" t="n"/>
    </row>
    <row r="8" ht="13" customHeight="1" s="82">
      <c r="B8" s="100" t="inlineStr">
        <is>
          <t>Net sales, selected year  ·  from Annual_Summary</t>
        </is>
      </c>
      <c r="C8" s="105" t="n"/>
      <c r="D8" s="106" t="n"/>
      <c r="F8" s="100" t="inlineStr">
        <is>
          <t>Operating profit before D&amp;I  ·  from Annual_Summary</t>
        </is>
      </c>
      <c r="G8" s="105" t="n"/>
      <c r="H8" s="106" t="n"/>
      <c r="J8" s="100" t="inlineStr">
        <is>
          <t>Profit after tax  ·  from Annual_Summary</t>
        </is>
      </c>
      <c r="K8" s="105" t="n"/>
      <c r="L8" s="106" t="n"/>
      <c r="N8" s="100" t="inlineStr">
        <is>
          <t>Closing cash &amp; bank balance  ·  from Form III Balance Sheet</t>
        </is>
      </c>
      <c r="O8" s="105" t="n"/>
      <c r="P8" s="106" t="n"/>
    </row>
    <row r="10" ht="14" customHeight="1" s="82">
      <c r="B10" s="97" t="inlineStr">
        <is>
          <t>PROJECT COST</t>
        </is>
      </c>
      <c r="C10" s="105" t="n"/>
      <c r="D10" s="106" t="n"/>
      <c r="F10" s="97" t="inlineStr">
        <is>
          <t>TERM LOAN</t>
        </is>
      </c>
      <c r="G10" s="105" t="n"/>
      <c r="H10" s="106" t="n"/>
      <c r="J10" s="97" t="inlineStr">
        <is>
          <t>PROMOTERS' EQUITY</t>
        </is>
      </c>
      <c r="K10" s="105" t="n"/>
      <c r="L10" s="106" t="n"/>
      <c r="N10" s="97" t="inlineStr">
        <is>
          <t>AVERAGE DSCR</t>
        </is>
      </c>
      <c r="O10" s="105" t="n"/>
      <c r="P10" s="106" t="n"/>
    </row>
    <row r="11" ht="22" customHeight="1" s="82">
      <c r="B11" s="99">
        <f>Form_III_BalanceSheet!$C$15</f>
        <v/>
      </c>
      <c r="C11" s="105" t="n"/>
      <c r="D11" s="106" t="n"/>
      <c r="F11" s="99">
        <f>Assumptions!$C$8</f>
        <v/>
      </c>
      <c r="G11" s="105" t="n"/>
      <c r="H11" s="106" t="n"/>
      <c r="J11" s="99">
        <f>Assumptions!$C$9</f>
        <v/>
      </c>
      <c r="K11" s="105" t="n"/>
      <c r="L11" s="106" t="n"/>
      <c r="N11" s="101">
        <f>DSCR!$H$14</f>
        <v/>
      </c>
      <c r="O11" s="105" t="n"/>
      <c r="P11" s="106" t="n"/>
    </row>
    <row r="12" ht="13" customHeight="1" s="82">
      <c r="B12" s="100" t="inlineStr">
        <is>
          <t>Gross fixed assets (land + building + equipment)  ·  from Form III Balance Sheet</t>
        </is>
      </c>
      <c r="C12" s="105" t="n"/>
      <c r="D12" s="106" t="n"/>
      <c r="F12" s="100" t="inlineStr">
        <is>
          <t>Term loan applied for  ·  from Assumptions</t>
        </is>
      </c>
      <c r="G12" s="105" t="n"/>
      <c r="H12" s="106" t="n"/>
      <c r="J12" s="100" t="inlineStr">
        <is>
          <t>Promoters' capital brought in  ·  from Assumptions</t>
        </is>
      </c>
      <c r="K12" s="105" t="n"/>
      <c r="L12" s="106" t="n"/>
      <c r="N12" s="100" t="inlineStr">
        <is>
          <t>5-year average DSCR — bank floor 1.20x  ·  from DSCR sheet</t>
        </is>
      </c>
      <c r="O12" s="105" t="n"/>
      <c r="P12" s="106" t="n"/>
    </row>
    <row r="14" ht="20" customHeight="1" s="82">
      <c r="B14" s="102" t="inlineStr">
        <is>
          <t>FINANCIAL PERFORMANCE</t>
        </is>
      </c>
    </row>
    <row r="70" ht="20" customHeight="1" s="82">
      <c r="B70" s="102" t="inlineStr">
        <is>
          <t>KEY RATIOS &amp; PROJECT SUMMARY</t>
        </is>
      </c>
    </row>
    <row r="72">
      <c r="B72" s="103" t="inlineStr">
        <is>
          <t>Liquidity &amp; Leverage</t>
        </is>
      </c>
      <c r="C72" s="104" t="inlineStr">
        <is>
          <t>Year 1</t>
        </is>
      </c>
      <c r="D72" s="104" t="inlineStr">
        <is>
          <t>Year 5</t>
        </is>
      </c>
      <c r="F72" s="103" t="inlineStr">
        <is>
          <t>Project Summary</t>
        </is>
      </c>
      <c r="G72" s="105" t="n"/>
      <c r="H72" s="106" t="n"/>
    </row>
    <row r="73">
      <c r="B73" s="107" t="inlineStr">
        <is>
          <t>Current Ratio</t>
        </is>
      </c>
      <c r="C73" s="108">
        <f>Ratios!C6</f>
        <v/>
      </c>
      <c r="D73" s="108">
        <f>Ratios!G6</f>
        <v/>
      </c>
      <c r="F73" s="107" t="inlineStr">
        <is>
          <t>Name of the Unit</t>
        </is>
      </c>
      <c r="G73" s="109">
        <f>Assumptions!C5</f>
        <v/>
      </c>
      <c r="H73" s="106" t="n"/>
    </row>
    <row r="74">
      <c r="B74" s="107" t="inlineStr">
        <is>
          <t>Debt-Equity Ratio</t>
        </is>
      </c>
      <c r="C74" s="108">
        <f>Ratios!C7</f>
        <v/>
      </c>
      <c r="D74" s="108">
        <f>Ratios!G7</f>
        <v/>
      </c>
      <c r="F74" s="107" t="inlineStr">
        <is>
          <t>Constitution</t>
        </is>
      </c>
      <c r="G74" s="109">
        <f>Assumptions!C6</f>
        <v/>
      </c>
      <c r="H74" s="106" t="n"/>
    </row>
    <row r="75">
      <c r="F75" s="107" t="inlineStr">
        <is>
          <t>Line of Activity</t>
        </is>
      </c>
      <c r="G75" s="109">
        <f>Assumptions!C7</f>
        <v/>
      </c>
      <c r="H75" s="106" t="n"/>
    </row>
    <row r="76">
      <c r="B76" s="103" t="inlineStr">
        <is>
          <t>Profitability Margin</t>
        </is>
      </c>
      <c r="C76" s="104" t="inlineStr">
        <is>
          <t>Year 1</t>
        </is>
      </c>
      <c r="D76" s="104" t="inlineStr">
        <is>
          <t>Year 5</t>
        </is>
      </c>
      <c r="F76" s="107" t="inlineStr">
        <is>
          <t>Industry</t>
        </is>
      </c>
      <c r="G76" s="109">
        <f>Assumptions!J5</f>
        <v/>
      </c>
      <c r="H76" s="106" t="n"/>
    </row>
    <row r="77">
      <c r="B77" s="107" t="inlineStr">
        <is>
          <t>EBITDA Margin</t>
        </is>
      </c>
      <c r="C77" s="110">
        <f>Ratios!C10</f>
        <v/>
      </c>
      <c r="D77" s="110">
        <f>Ratios!G10</f>
        <v/>
      </c>
      <c r="F77" s="107" t="inlineStr">
        <is>
          <t>Installed Capacity (p.a.)</t>
        </is>
      </c>
      <c r="G77" s="111">
        <f>Assumptions!C16</f>
        <v/>
      </c>
      <c r="H77" s="106" t="n"/>
    </row>
    <row r="78">
      <c r="B78" s="107" t="inlineStr">
        <is>
          <t>Net Profit Margin</t>
        </is>
      </c>
      <c r="C78" s="110">
        <f>Ratios!C11</f>
        <v/>
      </c>
      <c r="D78" s="110">
        <f>Ratios!G11</f>
        <v/>
      </c>
      <c r="F78" s="107" t="inlineStr">
        <is>
          <t>Term Loan Tenure (months)</t>
        </is>
      </c>
      <c r="G78" s="112">
        <f>Assumptions!C11</f>
        <v/>
      </c>
      <c r="H78" s="106" t="n"/>
    </row>
    <row r="79">
      <c r="F79" s="107" t="inlineStr">
        <is>
          <t>Interest Rate — Term Loan</t>
        </is>
      </c>
      <c r="G79" s="110">
        <f>Assumptions!C10</f>
        <v/>
      </c>
      <c r="H79" s="106" t="n"/>
    </row>
    <row r="80">
      <c r="B80" s="103" t="inlineStr">
        <is>
          <t>WC Component</t>
        </is>
      </c>
      <c r="C80" s="104" t="inlineStr">
        <is>
          <t>Days</t>
        </is>
      </c>
      <c r="F80" s="107" t="inlineStr">
        <is>
          <t>Moratorium (months)</t>
        </is>
      </c>
      <c r="G80" s="112">
        <f>Assumptions!C12</f>
        <v/>
      </c>
      <c r="H80" s="106" t="n"/>
    </row>
    <row r="81">
      <c r="B81" s="107" t="inlineStr">
        <is>
          <t>Raw Material Holding</t>
        </is>
      </c>
      <c r="C81" s="112">
        <f>Assumptions!C50</f>
        <v/>
      </c>
      <c r="F81" s="107" t="inlineStr">
        <is>
          <t>Income Tax Rate</t>
        </is>
      </c>
      <c r="G81" s="110">
        <f>Assumptions!C14</f>
        <v/>
      </c>
      <c r="H81" s="106" t="n"/>
    </row>
    <row r="82">
      <c r="B82" s="107" t="inlineStr">
        <is>
          <t>Finished Goods Holding</t>
        </is>
      </c>
      <c r="C82" s="112">
        <f>Assumptions!C51</f>
        <v/>
      </c>
      <c r="F82" s="107" t="inlineStr">
        <is>
          <t>Break-even (% of sales, Yr 1)</t>
        </is>
      </c>
      <c r="G82" s="110">
        <f>Ratios!C16</f>
        <v/>
      </c>
      <c r="H82" s="106" t="n"/>
    </row>
    <row r="83">
      <c r="B83" s="107" t="inlineStr">
        <is>
          <t>Receivables</t>
        </is>
      </c>
      <c r="C83" s="112">
        <f>Assumptions!C52</f>
        <v/>
      </c>
    </row>
    <row r="84">
      <c r="B84" s="107" t="inlineStr">
        <is>
          <t>Payables</t>
        </is>
      </c>
      <c r="C84" s="112">
        <f>Assumptions!C53</f>
        <v/>
      </c>
    </row>
  </sheetData>
  <mergeCells count="39">
    <mergeCell ref="B11:D11"/>
    <mergeCell ref="J6:L6"/>
    <mergeCell ref="G81:H81"/>
    <mergeCell ref="B70:S70"/>
    <mergeCell ref="G77:H77"/>
    <mergeCell ref="B8:D8"/>
    <mergeCell ref="F8:H8"/>
    <mergeCell ref="B14:S14"/>
    <mergeCell ref="N8:P8"/>
    <mergeCell ref="J11:L11"/>
    <mergeCell ref="J7:L7"/>
    <mergeCell ref="B10:D10"/>
    <mergeCell ref="G82:H82"/>
    <mergeCell ref="F72:H72"/>
    <mergeCell ref="N10:P10"/>
    <mergeCell ref="J12:L12"/>
    <mergeCell ref="B6:D6"/>
    <mergeCell ref="G78:H78"/>
    <mergeCell ref="N6:P6"/>
    <mergeCell ref="G74:H74"/>
    <mergeCell ref="G80:H80"/>
    <mergeCell ref="J8:L8"/>
    <mergeCell ref="B7:D7"/>
    <mergeCell ref="F11:H11"/>
    <mergeCell ref="G79:H79"/>
    <mergeCell ref="N11:P11"/>
    <mergeCell ref="G73:H73"/>
    <mergeCell ref="N7:P7"/>
    <mergeCell ref="F10:H10"/>
    <mergeCell ref="F6:H6"/>
    <mergeCell ref="J10:L10"/>
    <mergeCell ref="B3:S3"/>
    <mergeCell ref="G76:H76"/>
    <mergeCell ref="B1:S2"/>
    <mergeCell ref="G75:H75"/>
    <mergeCell ref="F12:H12"/>
    <mergeCell ref="F7:H7"/>
    <mergeCell ref="B12:D12"/>
    <mergeCell ref="N12:P12"/>
  </mergeCells>
  <conditionalFormatting sqref="N11">
    <cfRule type="cellIs" priority="1" operator="lessThan" dxfId="2">
      <formula>1.2</formula>
    </cfRule>
    <cfRule type="cellIs" priority="2" operator="greaterThanOrEqual" dxfId="3">
      <formula>1.2</formula>
    </cfRule>
  </conditionalFormatting>
  <dataValidations count="1">
    <dataValidation sqref="C4" showDropDown="0" showInputMessage="0" showErrorMessage="0" allowBlank="0" type="list">
      <formula1>"1,2,3,4,5"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2026-07-08T12:09:24Z</dcterms:created>
  <dcterms:modified xmlns:dcterms="http://purl.org/dc/terms/" xmlns:xsi="http://www.w3.org/2001/XMLSchema-instance" xsi:type="dcterms:W3CDTF">2026-09-22T06:31:42Z</dcterms:modified>
  <cp:revision>1</cp:revision>
</cp:coreProperties>
</file>