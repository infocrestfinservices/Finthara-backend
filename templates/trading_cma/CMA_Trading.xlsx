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1"/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4"/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1"/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Trading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traded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Realisation /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goods traded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Commission / Brokerage</t>
        </is>
      </c>
      <c r="C66" s="257" t="n">
        <v>0</v>
      </c>
      <c r="D66" s="257" t="n">
        <v>0</v>
      </c>
    </row>
    <row r="67">
      <c r="B67" s="188" t="inlineStr">
        <is>
          <t>Value-added services</t>
        </is>
      </c>
      <c r="C67" s="257" t="n">
        <v>0</v>
      </c>
      <c r="D67" s="257" t="n">
        <v>0</v>
      </c>
    </row>
    <row r="68">
      <c r="B68" s="188" t="inlineStr">
        <is>
          <t>Logistics / Handling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traded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traded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Realisation /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traded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Commission / Brokerage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Commission / Brokerage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Commission / Brokerage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Value-added services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Value-added services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Value-added services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Logistics / Handling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Logistics / Handling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Logistics / Handling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goods traded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traded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Commission / Brokerage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Value-added services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Logistics / Handling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MAX(0,Form_IV_CA_CL!C14*(1-Assumptions!$C$55)-Form_IV_CA_CL!C18)</f>
        <v/>
      </c>
      <c r="D10" s="143">
        <f>MAX(0,Form_IV_CA_CL!D14*(1-Assumptions!$C$55)-Form_IV_CA_CL!D18)</f>
        <v/>
      </c>
      <c r="E10" s="143">
        <f>MAX(0,Form_IV_CA_CL!E14*(1-Assumptions!$C$55)-Form_IV_CA_CL!E18)</f>
        <v/>
      </c>
      <c r="F10" s="143">
        <f>MAX(0,Form_IV_CA_CL!F14*(1-Assumptions!$C$55)-Form_IV_CA_CL!F18)</f>
        <v/>
      </c>
      <c r="G10" s="143">
        <f>MAX(0,Form_IV_CA_CL!G14*(1-Assumptions!$C$55)-Form_IV_CA_CL!G18)</f>
        <v/>
      </c>
    </row>
    <row r="11" ht="15" customHeight="1" s="82">
      <c r="B11" s="137" t="inlineStr">
        <is>
          <t>Recommended MPBF  (Method II)</t>
        </is>
      </c>
      <c r="C11" s="139">
        <f>C10</f>
        <v/>
      </c>
      <c r="D11" s="139">
        <f>D10</f>
        <v/>
      </c>
      <c r="E11" s="139">
        <f>E10</f>
        <v/>
      </c>
      <c r="F11" s="139">
        <f>F10</f>
        <v/>
      </c>
      <c r="G11" s="139">
        <f>G10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IF(AVERAGE(DSCR!C14:G14)&gt;=1.5,"STRONG — comfortably serviceable (avg DSCR &gt;= 1.50)",IF(AVERAGE(DSCR!C14:G14)&gt;=1.2,"BANKABLE — meets the 1.20 minimum DSCR","BELOW NORM — average DSCR under the 1.20 bank floor"))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2026-08-04T09:15:41Z</dcterms:modified>
  <cp:revision>1</cp:revision>
</cp:coreProperties>
</file>