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Form_V_MPBF" sheetId="10" state="visible" r:id="rId10"/>
    <sheet xmlns:r="http://schemas.openxmlformats.org/officeDocument/2006/relationships" name="WC &amp; CC-OD Limit" sheetId="11" state="visible" r:id="rId11"/>
    <sheet xmlns:r="http://schemas.openxmlformats.org/officeDocument/2006/relationships" name="Form_VI_FundFlow" sheetId="12" state="visible" r:id="rId12"/>
    <sheet xmlns:r="http://schemas.openxmlformats.org/officeDocument/2006/relationships" name="Repayment" sheetId="13" state="visible" r:id="rId13"/>
    <sheet xmlns:r="http://schemas.openxmlformats.org/officeDocument/2006/relationships" name="Existing Loan" sheetId="14" state="visible" r:id="rId14"/>
    <sheet xmlns:r="http://schemas.openxmlformats.org/officeDocument/2006/relationships" name="DSCR" sheetId="15" state="visible" r:id="rId15"/>
    <sheet xmlns:r="http://schemas.openxmlformats.org/officeDocument/2006/relationships" name="Ratios" sheetId="16" state="visible" r:id="rId16"/>
    <sheet xmlns:r="http://schemas.openxmlformats.org/officeDocument/2006/relationships" name="Conclusion" sheetId="17" state="visible" r:id="rId17"/>
    <sheet xmlns:r="http://schemas.openxmlformats.org/officeDocument/2006/relationships" name="Dashboard" sheetId="18" state="visible" r:id="rId18"/>
  </sheets>
  <definedNames>
    <definedName name="INDUSTRY_MAP">Assumptions!$S$5:$AB$40</definedName>
    <definedName name="_xlnm.Print_Area" localSheetId="16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10" fontId="50" fillId="0" borderId="31" applyAlignment="1" pivotButton="0" quotePrefix="0" xfId="0">
      <alignment horizontal="right"/>
    </xf>
    <xf numFmtId="0" fontId="49" fillId="0" borderId="31" applyAlignment="1" pivotButton="0" quotePrefix="0" xfId="0">
      <alignment horizontal="left"/>
    </xf>
    <xf numFmtId="0" fontId="53" fillId="30" borderId="31" applyAlignment="1" pivotButton="0" quotePrefix="0" xfId="0">
      <alignment horizontal="lef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Form_V_MPBF</t>
        </is>
      </c>
      <c r="C21" s="88" t="inlineStr">
        <is>
          <t>Form V — Maximum permissible bank finance (Tandon)</t>
        </is>
      </c>
    </row>
    <row r="22" ht="15" customHeight="1" s="82">
      <c r="B22" s="90" t="inlineStr">
        <is>
          <t>WC &amp; CC-OD Limit</t>
        </is>
      </c>
      <c r="C22" s="88" t="inlineStr">
        <is>
          <t>Working capital assessment and the term-loan / WC borrowing split</t>
        </is>
      </c>
    </row>
    <row r="23" ht="15" customHeight="1" s="82">
      <c r="B23" s="90" t="inlineStr">
        <is>
          <t>Form_VI_FundFlow</t>
        </is>
      </c>
      <c r="C23" s="88" t="inlineStr">
        <is>
          <t>Form VI — Fund-flow statement</t>
        </is>
      </c>
    </row>
    <row r="24" ht="15" customHeight="1" s="82">
      <c r="B24" s="90" t="inlineStr">
        <is>
          <t>Repayment</t>
        </is>
      </c>
      <c r="C24" s="88" t="inlineStr">
        <is>
          <t>Term-loan repayment schedule, annual and month by month</t>
        </is>
      </c>
    </row>
    <row r="25" ht="15" customHeight="1" s="82">
      <c r="B25" s="90" t="inlineStr">
        <is>
          <t>Existing Loan</t>
        </is>
      </c>
      <c r="C25" s="88" t="inlineStr">
        <is>
          <t>Existing loan / liability details, where applicable</t>
        </is>
      </c>
    </row>
    <row r="26" ht="15" customHeight="1" s="82">
      <c r="B26" s="90" t="inlineStr">
        <is>
          <t>DSCR</t>
        </is>
      </c>
      <c r="C26" s="88" t="inlineStr">
        <is>
          <t>Debt-service coverage year by year</t>
        </is>
      </c>
    </row>
    <row r="27">
      <c r="B27" s="90" t="inlineStr">
        <is>
          <t>Ratios</t>
        </is>
      </c>
      <c r="C27" s="88" t="inlineStr">
        <is>
          <t>Key ratios — liquidity, leverage, profitability, coverage</t>
        </is>
      </c>
    </row>
    <row r="28" ht="15" customHeight="1" s="82">
      <c r="B28" s="88" t="inlineStr">
        <is>
          <t>Conclusion</t>
        </is>
      </c>
      <c r="C28" t="inlineStr">
        <is>
          <t>The verdict the figures support</t>
        </is>
      </c>
    </row>
    <row r="29">
      <c r="B29" s="90" t="inlineStr">
        <is>
          <t>Dashboard</t>
        </is>
      </c>
      <c r="C29" s="88" t="inlineStr">
        <is>
          <t>Charts: revenue, EBITDA, PAT, DSCR</t>
        </is>
      </c>
    </row>
    <row r="30"/>
    <row r="31"/>
  </sheetData>
  <mergeCells count="3">
    <mergeCell ref="B12:C12"/>
    <mergeCell ref="B3:C3"/>
    <mergeCell ref="B2:C2"/>
  </mergeCells>
  <hyperlinks>
    <hyperlink ref="B13" location="Assumptions!A1" display="Assumptions"/>
    <hyperlink ref="B14" location="'Service Delivery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Active subscribers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ARPU (per subscriber / year)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revenue (hosting, support)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App Development Cost / Capitalised Software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App Development Cost / Capitalised Software — amortisation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idden="1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idden="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Setup / Onboarding fees</t>
        </is>
      </c>
      <c r="C66" s="257" t="n">
        <v>0</v>
      </c>
      <c r="D66" s="257" t="n">
        <v>0</v>
      </c>
    </row>
    <row r="67">
      <c r="B67" s="188" t="inlineStr">
        <is>
          <t>Professional services</t>
        </is>
      </c>
      <c r="C67" s="257" t="n">
        <v>0</v>
      </c>
      <c r="D67" s="257" t="n">
        <v>0</v>
      </c>
    </row>
    <row r="68">
      <c r="B68" s="188" t="inlineStr">
        <is>
          <t>Support / AMC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6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6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6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6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Active subscribers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Active subscribers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ARPU (per subscriber / year)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Active subscribers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Setup / Onboarding fees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Setup / Onboarding fees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Setup / Onboarding fees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Professional services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Professional services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Professional services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Support / AMC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Support / AMC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Support / AMC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revenue (hosting, support)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Active subscribers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Setup / Onboarding fees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Professional services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Support / AMC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idden="1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idden="1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idden="1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idden="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4" t="inlineStr">
        <is>
          <t>WORKING CAPITAL &amp; LOAN STRUCTURE  —  MPBF (Tandon) and the borrowing split</t>
        </is>
      </c>
    </row>
    <row r="2">
      <c r="A2" s="305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7">
        <f>Assumptions!$C$73</f>
        <v/>
      </c>
      <c r="D4" s="308" t="n"/>
    </row>
    <row r="5">
      <c r="B5" s="266" t="inlineStr">
        <is>
          <t>Interest rate (% p.a.)</t>
        </is>
      </c>
      <c r="C5" s="309">
        <f>Assumptions!$C$74</f>
        <v/>
      </c>
      <c r="D5" s="308" t="n"/>
    </row>
    <row r="6">
      <c r="B6" s="266" t="inlineStr">
        <is>
          <t>Remaining tenure (months) / annual principal</t>
        </is>
      </c>
      <c r="C6" s="307">
        <f>Assumptions!$C$75</f>
        <v/>
      </c>
      <c r="D6" s="307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 hidden="1" s="82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 hidden="1" s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2026-09-22T06:31:41Z</dcterms:modified>
  <cp:revision>1</cp:revision>
</cp:coreProperties>
</file>