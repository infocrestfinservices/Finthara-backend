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>
        <is>
          <t>Existing loan / liability details, where applicable</t>
        </is>
      </c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Ratios</t>
        </is>
      </c>
      <c r="C28" s="81" t="inlineStr">
        <is>
          <t>Key ratios — liquidity, leverage, profitability, coverage</t>
        </is>
      </c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3">
    <mergeCell ref="B3:C3"/>
    <mergeCell ref="B2:C2"/>
    <mergeCell ref="B12:C12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Covers served (Year 1)</t>
        </is>
      </c>
      <c r="C16" s="121">
        <f>E16*F16*G16*H16*I16</f>
        <v/>
      </c>
      <c r="D16" s="283" t="inlineStr">
        <is>
          <t>units p.a.</t>
        </is>
      </c>
      <c r="E16" s="81" t="n">
        <v>0</v>
      </c>
      <c r="F16" s="81" t="n">
        <v>0</v>
      </c>
      <c r="G16" s="81" t="n">
        <v>0</v>
      </c>
      <c r="H16" s="125" t="n">
        <v>0</v>
      </c>
      <c r="I16" s="81" t="n">
        <v>0</v>
      </c>
      <c r="J16" s="81" t="inlineStr">
        <is>
          <t>(E16 tables × F16 seats/table × G16 table turns/day × H16 occupancy × I16 days open p.a.)</t>
        </is>
      </c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order value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Food &amp; beverage cost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>
        <f>E32*F32</f>
        <v/>
      </c>
      <c r="D32" s="283" t="inlineStr">
        <is>
          <t>₹/month</t>
        </is>
      </c>
      <c r="E32" s="81" t="n">
        <v>0</v>
      </c>
      <c r="F32" s="81" t="n">
        <v>0</v>
      </c>
      <c r="G32" s="81" t="inlineStr">
        <is>
          <t>(E32=headcount, F32=Rs/employee/month)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Beverages / Bar</t>
        </is>
      </c>
      <c r="C66" s="257" t="n">
        <v>0</v>
      </c>
      <c r="D66" s="257" t="n">
        <v>0</v>
      </c>
    </row>
    <row r="67">
      <c r="B67" s="188" t="inlineStr">
        <is>
          <t>Catering &amp; Events</t>
        </is>
      </c>
      <c r="C67" s="257" t="n">
        <v>0</v>
      </c>
      <c r="D67" s="257" t="n">
        <v>0</v>
      </c>
    </row>
    <row r="68">
      <c r="B68" s="188" t="inlineStr">
        <is>
          <t>Home delivery / Takeaway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  <row r="77">
      <c r="B77" t="inlineStr">
        <is>
          <t>K.  COST OF PROJECT  (bottom-up build-up; ties to Means of Finance below)</t>
        </is>
      </c>
    </row>
    <row r="78">
      <c r="B78" t="inlineStr">
        <is>
          <t>Fixed assets (land + building + plant &amp; machinery + furniture)</t>
        </is>
      </c>
      <c r="C78">
        <f>C42+C43+C45+C47</f>
        <v/>
      </c>
      <c r="D78" t="inlineStr">
        <is>
          <t>₹</t>
        </is>
      </c>
    </row>
    <row r="79">
      <c r="B79" t="inlineStr">
        <is>
          <t>Pre-operative &amp; preliminary expenses</t>
        </is>
      </c>
      <c r="C79" t="n">
        <v>0</v>
      </c>
      <c r="D79" t="inlineStr">
        <is>
          <t>₹</t>
        </is>
      </c>
    </row>
    <row r="80">
      <c r="B80" t="inlineStr">
        <is>
          <t>Margin money for working capital  (borrower's stipulated NWC, Year 1)</t>
        </is>
      </c>
      <c r="C80">
        <f>'WC &amp; CC-OD Limit'!C10</f>
        <v/>
      </c>
      <c r="D80" t="inlineStr">
        <is>
          <t>₹</t>
        </is>
      </c>
    </row>
    <row r="81">
      <c r="B81" t="inlineStr">
        <is>
          <t>TOTAL PROJECT COST</t>
        </is>
      </c>
      <c r="C81">
        <f>C78+C79+C80</f>
        <v/>
      </c>
      <c r="D81" t="inlineStr">
        <is>
          <t>₹</t>
        </is>
      </c>
    </row>
    <row r="83">
      <c r="B83" t="inlineStr">
        <is>
          <t>MEANS OF FINANCE</t>
        </is>
      </c>
    </row>
    <row r="84">
      <c r="B84" t="inlineStr">
        <is>
          <t>Term loan</t>
        </is>
      </c>
      <c r="C84">
        <f>C8</f>
        <v/>
      </c>
      <c r="D84" t="inlineStr">
        <is>
          <t>₹</t>
        </is>
      </c>
    </row>
    <row r="85">
      <c r="B85" t="inlineStr">
        <is>
          <t>Promoter's contribution</t>
        </is>
      </c>
      <c r="C85">
        <f>C9</f>
        <v/>
      </c>
      <c r="D85" t="inlineStr">
        <is>
          <t>₹</t>
        </is>
      </c>
    </row>
    <row r="86">
      <c r="B86" t="inlineStr">
        <is>
          <t>TOTAL MEANS OF FINANCE</t>
        </is>
      </c>
      <c r="C86">
        <f>C84+C85</f>
        <v/>
      </c>
      <c r="D86" t="inlineStr">
        <is>
          <t>₹</t>
        </is>
      </c>
    </row>
    <row r="87">
      <c r="B87" t="inlineStr">
        <is>
          <t>Check  (Total Project Cost − Total Means of Finance = 0)</t>
        </is>
      </c>
      <c r="C87">
        <f>C81-C86</f>
        <v/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Covers served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Covers served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order value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Covers served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Beverages / Bar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Beverages / Bar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Beverages / Bar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Catering &amp; Events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Catering &amp; Events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Catering &amp; Events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Home delivery / Takeaway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Home delivery / Takeaway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Home delivery / Takeaway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Food &amp; beverage cost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Covers served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Beverages / Bar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Catering &amp; Events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Home delivery / Takeaway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IFERROR(C16/IF(C14=0,C17,AVERAGE(C14,C17)),0)</f>
        <v/>
      </c>
      <c r="D25" s="304">
        <f>IFERROR(D16/IF(D14=0,D17,AVERAGE(D14,D17)),0)</f>
        <v/>
      </c>
      <c r="E25" s="304">
        <f>IFERROR(E16/IF(E14=0,E17,AVERAGE(E14,E17)),0)</f>
        <v/>
      </c>
      <c r="F25" s="304">
        <f>IFERROR(F16/IF(F14=0,F17,AVERAGE(F14,F17)),0)</f>
        <v/>
      </c>
      <c r="G25" s="304">
        <f>IFERROR(G16/IF(G14=0,G17,AVERAGE(G14,G17)),0)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2026-09-22T11:36:34Z</dcterms:modified>
  <cp:revision>1</cp:revision>
</cp:coreProperties>
</file>