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  <numFmt numFmtId="173" formatCode="#,##0.00;(#,##0.00);-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  <xf numFmtId="168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 — Debt-service coverage year by year</t>
        </is>
      </c>
      <c r="C28" s="132" t="n"/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s="81" t="inlineStr">
        <is>
          <t>Seeds &amp; inputs holding</t>
        </is>
      </c>
      <c r="AD5" s="81" t="inlineStr">
        <is>
          <t>Harvested stock holding</t>
        </is>
      </c>
      <c r="AE5" s="81" t="inlineStr">
        <is>
          <t>Receivables / debtors</t>
        </is>
      </c>
      <c r="AF5" s="81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s="81" t="inlineStr">
        <is>
          <t>Prepaid subscriptions holding</t>
        </is>
      </c>
      <c r="AD6" s="81" t="inlineStr">
        <is>
          <t>Work-in-progress holding</t>
        </is>
      </c>
      <c r="AE6" s="81" t="inlineStr">
        <is>
          <t>Receivables / debtors</t>
        </is>
      </c>
      <c r="AF6" s="81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s="81" t="inlineStr">
        <is>
          <t>Inventory (goods for resale) holding</t>
        </is>
      </c>
      <c r="AD7" s="81" t="inlineStr">
        <is>
          <t>Work-in-progress holding</t>
        </is>
      </c>
      <c r="AE7" s="81" t="inlineStr">
        <is>
          <t>Receivables / debtors</t>
        </is>
      </c>
      <c r="AF7" s="81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s="81" t="inlineStr">
        <is>
          <t>Raw material holding</t>
        </is>
      </c>
      <c r="AD8" s="81" t="inlineStr">
        <is>
          <t>Finished goods holding</t>
        </is>
      </c>
      <c r="AE8" s="81" t="inlineStr">
        <is>
          <t>Receivables / debtors</t>
        </is>
      </c>
      <c r="AF8" s="81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s="81" t="inlineStr">
        <is>
          <t>F&amp;B &amp; guest-supplies holding</t>
        </is>
      </c>
      <c r="AD9" s="81" t="inlineStr">
        <is>
          <t>Work-in-progress holding</t>
        </is>
      </c>
      <c r="AE9" s="81" t="inlineStr">
        <is>
          <t>Guest / corporate receivables</t>
        </is>
      </c>
      <c r="AF9" s="81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s="81" t="inlineStr">
        <is>
          <t>Spares &amp; consumables holding</t>
        </is>
      </c>
      <c r="AD10" s="81" t="inlineStr">
        <is>
          <t>Work-in-progress holding</t>
        </is>
      </c>
      <c r="AE10" s="81" t="inlineStr">
        <is>
          <t>Receivables / debtors</t>
        </is>
      </c>
      <c r="AF10" s="81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s="81" t="inlineStr">
        <is>
          <t>Medicines &amp; consumables holding</t>
        </is>
      </c>
      <c r="AD11" s="81" t="inlineStr">
        <is>
          <t>Work-in-progress holding</t>
        </is>
      </c>
      <c r="AE11" s="81" t="inlineStr">
        <is>
          <t>Receivables / debtors</t>
        </is>
      </c>
      <c r="AF11" s="8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s="81" t="inlineStr">
        <is>
          <t>Courseware &amp; supplies holding</t>
        </is>
      </c>
      <c r="AD12" s="81" t="inlineStr">
        <is>
          <t>Work-in-progress holding</t>
        </is>
      </c>
      <c r="AE12" s="81" t="inlineStr">
        <is>
          <t>Fee receivables</t>
        </is>
      </c>
      <c r="AF12" s="81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s="81" t="inlineStr">
        <is>
          <t>Inventory holding</t>
        </is>
      </c>
      <c r="AD13" s="81" t="inlineStr">
        <is>
          <t>Work-in-progress holding</t>
        </is>
      </c>
      <c r="AE13" s="81" t="inlineStr">
        <is>
          <t>Receivables / debtors</t>
        </is>
      </c>
      <c r="AF13" s="81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s="81" t="inlineStr">
        <is>
          <t>Construction material holding</t>
        </is>
      </c>
      <c r="AD14" s="81" t="inlineStr">
        <is>
          <t>Work-in-progress holding</t>
        </is>
      </c>
      <c r="AE14" s="81" t="inlineStr">
        <is>
          <t>Receivables / debtors</t>
        </is>
      </c>
      <c r="AF14" s="81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s="81" t="inlineStr">
        <is>
          <t>Food &amp; beverage stock holding</t>
        </is>
      </c>
      <c r="AD15" s="81" t="inlineStr">
        <is>
          <t>Work-in-progress holding</t>
        </is>
      </c>
      <c r="AE15" s="81" t="inlineStr">
        <is>
          <t>Receivables / debtors</t>
        </is>
      </c>
      <c r="AF15" s="81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s="81" t="inlineStr">
        <is>
          <t>Fuel &amp; spares holding</t>
        </is>
      </c>
      <c r="AD16" s="81" t="inlineStr">
        <is>
          <t>Work-in-progress holding</t>
        </is>
      </c>
      <c r="AE16" s="81" t="inlineStr">
        <is>
          <t>Receivables / debtors</t>
        </is>
      </c>
      <c r="AF16" s="81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s="81" t="inlineStr">
        <is>
          <t>Yarn &amp; fabric holding</t>
        </is>
      </c>
      <c r="AD17" s="81" t="inlineStr">
        <is>
          <t>Finished goods holding</t>
        </is>
      </c>
      <c r="AE17" s="81" t="inlineStr">
        <is>
          <t>Receivables / debtors</t>
        </is>
      </c>
      <c r="AF17" s="81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s="81" t="inlineStr">
        <is>
          <t>Components &amp; raw-material holding</t>
        </is>
      </c>
      <c r="AD18" s="81" t="inlineStr">
        <is>
          <t>Finished goods holding</t>
        </is>
      </c>
      <c r="AE18" s="81" t="inlineStr">
        <is>
          <t>Receivables / debtors</t>
        </is>
      </c>
      <c r="AF18" s="81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s="81" t="inlineStr">
        <is>
          <t>Inventory-in-transit holding</t>
        </is>
      </c>
      <c r="AD19" s="81" t="inlineStr">
        <is>
          <t>Work-in-progress holding</t>
        </is>
      </c>
      <c r="AE19" s="81" t="inlineStr">
        <is>
          <t>Receivables / debtors</t>
        </is>
      </c>
      <c r="AF19" s="81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O20" s="81" t="inlineStr">
        <is>
          <t>Gestation (months, 0-11)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81" t="n">
        <v>0</v>
      </c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D32*E32</f>
        <v/>
      </c>
      <c r="D32" s="335" t="n"/>
      <c r="E32" s="336" t="n"/>
      <c r="F32" s="81" t="inlineStr">
        <is>
          <t>(headcount)</t>
        </is>
      </c>
      <c r="G32" s="81" t="inlineStr">
        <is>
          <t>(₹ / employee / month)</t>
        </is>
      </c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  <c r="E65" s="81" t="inlineStr">
        <is>
          <t>Price escalation (annual %)</t>
        </is>
      </c>
      <c r="F65" s="81" t="inlineStr">
        <is>
          <t>Volume growth (annual %)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  <c r="E66" s="334" t="n"/>
      <c r="F66" s="334" t="n"/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  <c r="E67" s="334" t="n"/>
      <c r="F67" s="334" t="n"/>
    </row>
    <row r="68">
      <c r="B68" s="81" t="inlineStr">
        <is>
          <t>Trading of bought-out items</t>
        </is>
      </c>
      <c r="C68" s="189" t="n">
        <v>0</v>
      </c>
      <c r="D68" s="189" t="n">
        <v>0</v>
      </c>
      <c r="E68" s="334" t="n"/>
      <c r="F68" s="334" t="n"/>
    </row>
    <row r="69">
      <c r="B69" s="81" t="inlineStr">
        <is>
          <t>Other operating income</t>
        </is>
      </c>
      <c r="C69" s="189" t="n">
        <v>0</v>
      </c>
      <c r="D69" s="189" t="n">
        <v>0</v>
      </c>
      <c r="E69" s="334" t="n"/>
      <c r="F69" s="334" t="n"/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Assumptions!$C$66*Assumptions!$C$18/12*IF(SUM(Assumptions!$C$21:$N$21)=0,1,12*Assumptions!C$21/SUM(Assumptions!$C$21:$N$21))*(1+Assumptions!$F$66)^0</f>
        <v/>
      </c>
      <c r="C11" s="274">
        <f>Assumptions!$C$66*Assumptions!$C$18/12*IF(SUM(Assumptions!$C$21:$N$21)=0,1,12*Assumptions!D$21/SUM(Assumptions!$C$21:$N$21))*(1+Assumptions!$F$66)^0</f>
        <v/>
      </c>
      <c r="D11" s="274">
        <f>Assumptions!$C$66*Assumptions!$C$18/12*IF(SUM(Assumptions!$C$21:$N$21)=0,1,12*Assumptions!E$21/SUM(Assumptions!$C$21:$N$21))*(1+Assumptions!$F$66)^0</f>
        <v/>
      </c>
      <c r="E11" s="274">
        <f>Assumptions!$C$66*Assumptions!$C$18/12*IF(SUM(Assumptions!$C$21:$N$21)=0,1,12*Assumptions!F$21/SUM(Assumptions!$C$21:$N$21))*(1+Assumptions!$F$66)^0</f>
        <v/>
      </c>
      <c r="F11" s="274">
        <f>Assumptions!$C$66*Assumptions!$C$18/12*IF(SUM(Assumptions!$C$21:$N$21)=0,1,12*Assumptions!G$21/SUM(Assumptions!$C$21:$N$21))*(1+Assumptions!$F$66)^0</f>
        <v/>
      </c>
      <c r="G11" s="274">
        <f>Assumptions!$C$66*Assumptions!$C$18/12*IF(SUM(Assumptions!$C$21:$N$21)=0,1,12*Assumptions!H$21/SUM(Assumptions!$C$21:$N$21))*(1+Assumptions!$F$66)^0</f>
        <v/>
      </c>
      <c r="H11" s="274">
        <f>Assumptions!$C$66*Assumptions!$C$18/12*IF(SUM(Assumptions!$C$21:$N$21)=0,1,12*Assumptions!I$21/SUM(Assumptions!$C$21:$N$21))*(1+Assumptions!$F$66)^0</f>
        <v/>
      </c>
      <c r="I11" s="274">
        <f>Assumptions!$C$66*Assumptions!$C$18/12*IF(SUM(Assumptions!$C$21:$N$21)=0,1,12*Assumptions!J$21/SUM(Assumptions!$C$21:$N$21))*(1+Assumptions!$F$66)^0</f>
        <v/>
      </c>
      <c r="J11" s="274">
        <f>Assumptions!$C$66*Assumptions!$C$18/12*IF(SUM(Assumptions!$C$21:$N$21)=0,1,12*Assumptions!K$21/SUM(Assumptions!$C$21:$N$21))*(1+Assumptions!$F$66)^0</f>
        <v/>
      </c>
      <c r="K11" s="274">
        <f>Assumptions!$C$66*Assumptions!$C$18/12*IF(SUM(Assumptions!$C$21:$N$21)=0,1,12*Assumptions!L$21/SUM(Assumptions!$C$21:$N$21))*(1+Assumptions!$F$66)^0</f>
        <v/>
      </c>
      <c r="L11" s="274">
        <f>Assumptions!$C$66*Assumptions!$C$18/12*IF(SUM(Assumptions!$C$21:$N$21)=0,1,12*Assumptions!M$21/SUM(Assumptions!$C$21:$N$21))*(1+Assumptions!$F$66)^0</f>
        <v/>
      </c>
      <c r="M11" s="274">
        <f>Assumptions!$C$66*Assumptions!$C$18/12*IF(SUM(Assumptions!$C$21:$N$21)=0,1,12*Assumptions!N$21/SUM(Assumptions!$C$21:$N$21))*(1+Assumptions!$F$66)^0</f>
        <v/>
      </c>
      <c r="N11" s="274">
        <f>SUM(B11:M11)</f>
        <v/>
      </c>
      <c r="O11" s="274">
        <f>Assumptions!$C$66*Assumptions!$D$18/12*IF(SUM(Assumptions!$C$21:$N$21)=0,1,12*Assumptions!C$21/SUM(Assumptions!$C$21:$N$21))*(1+Assumptions!$F$66)^1</f>
        <v/>
      </c>
      <c r="P11" s="274">
        <f>Assumptions!$C$66*Assumptions!$D$18/12*IF(SUM(Assumptions!$C$21:$N$21)=0,1,12*Assumptions!D$21/SUM(Assumptions!$C$21:$N$21))*(1+Assumptions!$F$66)^1</f>
        <v/>
      </c>
      <c r="Q11" s="274">
        <f>Assumptions!$C$66*Assumptions!$D$18/12*IF(SUM(Assumptions!$C$21:$N$21)=0,1,12*Assumptions!E$21/SUM(Assumptions!$C$21:$N$21))*(1+Assumptions!$F$66)^1</f>
        <v/>
      </c>
      <c r="R11" s="274">
        <f>Assumptions!$C$66*Assumptions!$D$18/12*IF(SUM(Assumptions!$C$21:$N$21)=0,1,12*Assumptions!F$21/SUM(Assumptions!$C$21:$N$21))*(1+Assumptions!$F$66)^1</f>
        <v/>
      </c>
      <c r="S11" s="274">
        <f>Assumptions!$C$66*Assumptions!$D$18/12*IF(SUM(Assumptions!$C$21:$N$21)=0,1,12*Assumptions!G$21/SUM(Assumptions!$C$21:$N$21))*(1+Assumptions!$F$66)^1</f>
        <v/>
      </c>
      <c r="T11" s="274">
        <f>Assumptions!$C$66*Assumptions!$D$18/12*IF(SUM(Assumptions!$C$21:$N$21)=0,1,12*Assumptions!H$21/SUM(Assumptions!$C$21:$N$21))*(1+Assumptions!$F$66)^1</f>
        <v/>
      </c>
      <c r="U11" s="274">
        <f>Assumptions!$C$66*Assumptions!$D$18/12*IF(SUM(Assumptions!$C$21:$N$21)=0,1,12*Assumptions!I$21/SUM(Assumptions!$C$21:$N$21))*(1+Assumptions!$F$66)^1</f>
        <v/>
      </c>
      <c r="V11" s="274">
        <f>Assumptions!$C$66*Assumptions!$D$18/12*IF(SUM(Assumptions!$C$21:$N$21)=0,1,12*Assumptions!J$21/SUM(Assumptions!$C$21:$N$21))*(1+Assumptions!$F$66)^1</f>
        <v/>
      </c>
      <c r="W11" s="274">
        <f>Assumptions!$C$66*Assumptions!$D$18/12*IF(SUM(Assumptions!$C$21:$N$21)=0,1,12*Assumptions!K$21/SUM(Assumptions!$C$21:$N$21))*(1+Assumptions!$F$66)^1</f>
        <v/>
      </c>
      <c r="X11" s="274">
        <f>Assumptions!$C$66*Assumptions!$D$18/12*IF(SUM(Assumptions!$C$21:$N$21)=0,1,12*Assumptions!L$21/SUM(Assumptions!$C$21:$N$21))*(1+Assumptions!$F$66)^1</f>
        <v/>
      </c>
      <c r="Y11" s="274">
        <f>Assumptions!$C$66*Assumptions!$D$18/12*IF(SUM(Assumptions!$C$21:$N$21)=0,1,12*Assumptions!M$21/SUM(Assumptions!$C$21:$N$21))*(1+Assumptions!$F$66)^1</f>
        <v/>
      </c>
      <c r="Z11" s="274">
        <f>Assumptions!$C$66*Assumptions!$D$18/12*IF(SUM(Assumptions!$C$21:$N$21)=0,1,12*Assumptions!N$21/SUM(Assumptions!$C$21:$N$21))*(1+Assumptions!$F$66)^1</f>
        <v/>
      </c>
      <c r="AA11" s="274">
        <f>SUM(O11:Z11)</f>
        <v/>
      </c>
      <c r="AB11" s="274">
        <f>Assumptions!$C$66*Assumptions!$E$18/12*IF(SUM(Assumptions!$C$21:$N$21)=0,1,12*Assumptions!C$21/SUM(Assumptions!$C$21:$N$21))*(1+Assumptions!$F$66)^2</f>
        <v/>
      </c>
      <c r="AC11" s="274">
        <f>Assumptions!$C$66*Assumptions!$E$18/12*IF(SUM(Assumptions!$C$21:$N$21)=0,1,12*Assumptions!D$21/SUM(Assumptions!$C$21:$N$21))*(1+Assumptions!$F$66)^2</f>
        <v/>
      </c>
      <c r="AD11" s="274">
        <f>Assumptions!$C$66*Assumptions!$E$18/12*IF(SUM(Assumptions!$C$21:$N$21)=0,1,12*Assumptions!E$21/SUM(Assumptions!$C$21:$N$21))*(1+Assumptions!$F$66)^2</f>
        <v/>
      </c>
      <c r="AE11" s="274">
        <f>Assumptions!$C$66*Assumptions!$E$18/12*IF(SUM(Assumptions!$C$21:$N$21)=0,1,12*Assumptions!F$21/SUM(Assumptions!$C$21:$N$21))*(1+Assumptions!$F$66)^2</f>
        <v/>
      </c>
      <c r="AF11" s="274">
        <f>Assumptions!$C$66*Assumptions!$E$18/12*IF(SUM(Assumptions!$C$21:$N$21)=0,1,12*Assumptions!G$21/SUM(Assumptions!$C$21:$N$21))*(1+Assumptions!$F$66)^2</f>
        <v/>
      </c>
      <c r="AG11" s="274">
        <f>Assumptions!$C$66*Assumptions!$E$18/12*IF(SUM(Assumptions!$C$21:$N$21)=0,1,12*Assumptions!H$21/SUM(Assumptions!$C$21:$N$21))*(1+Assumptions!$F$66)^2</f>
        <v/>
      </c>
      <c r="AH11" s="274">
        <f>Assumptions!$C$66*Assumptions!$E$18/12*IF(SUM(Assumptions!$C$21:$N$21)=0,1,12*Assumptions!I$21/SUM(Assumptions!$C$21:$N$21))*(1+Assumptions!$F$66)^2</f>
        <v/>
      </c>
      <c r="AI11" s="274">
        <f>Assumptions!$C$66*Assumptions!$E$18/12*IF(SUM(Assumptions!$C$21:$N$21)=0,1,12*Assumptions!J$21/SUM(Assumptions!$C$21:$N$21))*(1+Assumptions!$F$66)^2</f>
        <v/>
      </c>
      <c r="AJ11" s="274">
        <f>Assumptions!$C$66*Assumptions!$E$18/12*IF(SUM(Assumptions!$C$21:$N$21)=0,1,12*Assumptions!K$21/SUM(Assumptions!$C$21:$N$21))*(1+Assumptions!$F$66)^2</f>
        <v/>
      </c>
      <c r="AK11" s="274">
        <f>Assumptions!$C$66*Assumptions!$E$18/12*IF(SUM(Assumptions!$C$21:$N$21)=0,1,12*Assumptions!L$21/SUM(Assumptions!$C$21:$N$21))*(1+Assumptions!$F$66)^2</f>
        <v/>
      </c>
      <c r="AL11" s="274">
        <f>Assumptions!$C$66*Assumptions!$E$18/12*IF(SUM(Assumptions!$C$21:$N$21)=0,1,12*Assumptions!M$21/SUM(Assumptions!$C$21:$N$21))*(1+Assumptions!$F$66)^2</f>
        <v/>
      </c>
      <c r="AM11" s="274">
        <f>Assumptions!$C$66*Assumptions!$E$18/12*IF(SUM(Assumptions!$C$21:$N$21)=0,1,12*Assumptions!N$21/SUM(Assumptions!$C$21:$N$21))*(1+Assumptions!$F$66)^2</f>
        <v/>
      </c>
      <c r="AN11" s="274">
        <f>SUM(AB11:AM11)</f>
        <v/>
      </c>
      <c r="AO11" s="274">
        <f>Assumptions!$C$66*Assumptions!$F$18/12*IF(SUM(Assumptions!$C$21:$N$21)=0,1,12*Assumptions!C$21/SUM(Assumptions!$C$21:$N$21))*(1+Assumptions!$F$66)^3</f>
        <v/>
      </c>
      <c r="AP11" s="274">
        <f>Assumptions!$C$66*Assumptions!$F$18/12*IF(SUM(Assumptions!$C$21:$N$21)=0,1,12*Assumptions!D$21/SUM(Assumptions!$C$21:$N$21))*(1+Assumptions!$F$66)^3</f>
        <v/>
      </c>
      <c r="AQ11" s="274">
        <f>Assumptions!$C$66*Assumptions!$F$18/12*IF(SUM(Assumptions!$C$21:$N$21)=0,1,12*Assumptions!E$21/SUM(Assumptions!$C$21:$N$21))*(1+Assumptions!$F$66)^3</f>
        <v/>
      </c>
      <c r="AR11" s="274">
        <f>Assumptions!$C$66*Assumptions!$F$18/12*IF(SUM(Assumptions!$C$21:$N$21)=0,1,12*Assumptions!F$21/SUM(Assumptions!$C$21:$N$21))*(1+Assumptions!$F$66)^3</f>
        <v/>
      </c>
      <c r="AS11" s="274">
        <f>Assumptions!$C$66*Assumptions!$F$18/12*IF(SUM(Assumptions!$C$21:$N$21)=0,1,12*Assumptions!G$21/SUM(Assumptions!$C$21:$N$21))*(1+Assumptions!$F$66)^3</f>
        <v/>
      </c>
      <c r="AT11" s="274">
        <f>Assumptions!$C$66*Assumptions!$F$18/12*IF(SUM(Assumptions!$C$21:$N$21)=0,1,12*Assumptions!H$21/SUM(Assumptions!$C$21:$N$21))*(1+Assumptions!$F$66)^3</f>
        <v/>
      </c>
      <c r="AU11" s="274">
        <f>Assumptions!$C$66*Assumptions!$F$18/12*IF(SUM(Assumptions!$C$21:$N$21)=0,1,12*Assumptions!I$21/SUM(Assumptions!$C$21:$N$21))*(1+Assumptions!$F$66)^3</f>
        <v/>
      </c>
      <c r="AV11" s="274">
        <f>Assumptions!$C$66*Assumptions!$F$18/12*IF(SUM(Assumptions!$C$21:$N$21)=0,1,12*Assumptions!J$21/SUM(Assumptions!$C$21:$N$21))*(1+Assumptions!$F$66)^3</f>
        <v/>
      </c>
      <c r="AW11" s="274">
        <f>Assumptions!$C$66*Assumptions!$F$18/12*IF(SUM(Assumptions!$C$21:$N$21)=0,1,12*Assumptions!K$21/SUM(Assumptions!$C$21:$N$21))*(1+Assumptions!$F$66)^3</f>
        <v/>
      </c>
      <c r="AX11" s="274">
        <f>Assumptions!$C$66*Assumptions!$F$18/12*IF(SUM(Assumptions!$C$21:$N$21)=0,1,12*Assumptions!L$21/SUM(Assumptions!$C$21:$N$21))*(1+Assumptions!$F$66)^3</f>
        <v/>
      </c>
      <c r="AY11" s="274">
        <f>Assumptions!$C$66*Assumptions!$F$18/12*IF(SUM(Assumptions!$C$21:$N$21)=0,1,12*Assumptions!M$21/SUM(Assumptions!$C$21:$N$21))*(1+Assumptions!$F$66)^3</f>
        <v/>
      </c>
      <c r="AZ11" s="274">
        <f>Assumptions!$C$66*Assumptions!$F$18/12*IF(SUM(Assumptions!$C$21:$N$21)=0,1,12*Assumptions!N$21/SUM(Assumptions!$C$21:$N$21))*(1+Assumptions!$F$66)^3</f>
        <v/>
      </c>
      <c r="BA11" s="274">
        <f>SUM(AO11:AZ11)</f>
        <v/>
      </c>
      <c r="BB11" s="274">
        <f>Assumptions!$C$66*Assumptions!$G$18/12*IF(SUM(Assumptions!$C$21:$N$21)=0,1,12*Assumptions!C$21/SUM(Assumptions!$C$21:$N$21))*(1+Assumptions!$F$66)^4</f>
        <v/>
      </c>
      <c r="BC11" s="274">
        <f>Assumptions!$C$66*Assumptions!$G$18/12*IF(SUM(Assumptions!$C$21:$N$21)=0,1,12*Assumptions!D$21/SUM(Assumptions!$C$21:$N$21))*(1+Assumptions!$F$66)^4</f>
        <v/>
      </c>
      <c r="BD11" s="274">
        <f>Assumptions!$C$66*Assumptions!$G$18/12*IF(SUM(Assumptions!$C$21:$N$21)=0,1,12*Assumptions!E$21/SUM(Assumptions!$C$21:$N$21))*(1+Assumptions!$F$66)^4</f>
        <v/>
      </c>
      <c r="BE11" s="274">
        <f>Assumptions!$C$66*Assumptions!$G$18/12*IF(SUM(Assumptions!$C$21:$N$21)=0,1,12*Assumptions!F$21/SUM(Assumptions!$C$21:$N$21))*(1+Assumptions!$F$66)^4</f>
        <v/>
      </c>
      <c r="BF11" s="274">
        <f>Assumptions!$C$66*Assumptions!$G$18/12*IF(SUM(Assumptions!$C$21:$N$21)=0,1,12*Assumptions!G$21/SUM(Assumptions!$C$21:$N$21))*(1+Assumptions!$F$66)^4</f>
        <v/>
      </c>
      <c r="BG11" s="274">
        <f>Assumptions!$C$66*Assumptions!$G$18/12*IF(SUM(Assumptions!$C$21:$N$21)=0,1,12*Assumptions!H$21/SUM(Assumptions!$C$21:$N$21))*(1+Assumptions!$F$66)^4</f>
        <v/>
      </c>
      <c r="BH11" s="274">
        <f>Assumptions!$C$66*Assumptions!$G$18/12*IF(SUM(Assumptions!$C$21:$N$21)=0,1,12*Assumptions!I$21/SUM(Assumptions!$C$21:$N$21))*(1+Assumptions!$F$66)^4</f>
        <v/>
      </c>
      <c r="BI11" s="274">
        <f>Assumptions!$C$66*Assumptions!$G$18/12*IF(SUM(Assumptions!$C$21:$N$21)=0,1,12*Assumptions!J$21/SUM(Assumptions!$C$21:$N$21))*(1+Assumptions!$F$66)^4</f>
        <v/>
      </c>
      <c r="BJ11" s="274">
        <f>Assumptions!$C$66*Assumptions!$G$18/12*IF(SUM(Assumptions!$C$21:$N$21)=0,1,12*Assumptions!K$21/SUM(Assumptions!$C$21:$N$21))*(1+Assumptions!$F$66)^4</f>
        <v/>
      </c>
      <c r="BK11" s="274">
        <f>Assumptions!$C$66*Assumptions!$G$18/12*IF(SUM(Assumptions!$C$21:$N$21)=0,1,12*Assumptions!L$21/SUM(Assumptions!$C$21:$N$21))*(1+Assumptions!$F$66)^4</f>
        <v/>
      </c>
      <c r="BL11" s="274">
        <f>Assumptions!$C$66*Assumptions!$G$18/12*IF(SUM(Assumptions!$C$21:$N$21)=0,1,12*Assumptions!M$21/SUM(Assumptions!$C$21:$N$21))*(1+Assumptions!$F$66)^4</f>
        <v/>
      </c>
      <c r="BM11" s="274">
        <f>Assumptions!$C$66*Assumptions!$G$18/12*IF(SUM(Assumptions!$C$21:$N$21)=0,1,12*Assumptions!N$21/SUM(Assumptions!$C$21:$N$21))*(1+Assumptions!$F$66)^4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Assumptions!$C$67*Assumptions!$C$18/12*IF(SUM(Assumptions!$C$21:$N$21)=0,1,12*Assumptions!C$21/SUM(Assumptions!$C$21:$N$21))*(1+Assumptions!$F$67)^0</f>
        <v/>
      </c>
      <c r="C12" s="274">
        <f>Assumptions!$C$67*Assumptions!$C$18/12*IF(SUM(Assumptions!$C$21:$N$21)=0,1,12*Assumptions!D$21/SUM(Assumptions!$C$21:$N$21))*(1+Assumptions!$F$67)^0</f>
        <v/>
      </c>
      <c r="D12" s="274">
        <f>Assumptions!$C$67*Assumptions!$C$18/12*IF(SUM(Assumptions!$C$21:$N$21)=0,1,12*Assumptions!E$21/SUM(Assumptions!$C$21:$N$21))*(1+Assumptions!$F$67)^0</f>
        <v/>
      </c>
      <c r="E12" s="274">
        <f>Assumptions!$C$67*Assumptions!$C$18/12*IF(SUM(Assumptions!$C$21:$N$21)=0,1,12*Assumptions!F$21/SUM(Assumptions!$C$21:$N$21))*(1+Assumptions!$F$67)^0</f>
        <v/>
      </c>
      <c r="F12" s="274">
        <f>Assumptions!$C$67*Assumptions!$C$18/12*IF(SUM(Assumptions!$C$21:$N$21)=0,1,12*Assumptions!G$21/SUM(Assumptions!$C$21:$N$21))*(1+Assumptions!$F$67)^0</f>
        <v/>
      </c>
      <c r="G12" s="274">
        <f>Assumptions!$C$67*Assumptions!$C$18/12*IF(SUM(Assumptions!$C$21:$N$21)=0,1,12*Assumptions!H$21/SUM(Assumptions!$C$21:$N$21))*(1+Assumptions!$F$67)^0</f>
        <v/>
      </c>
      <c r="H12" s="274">
        <f>Assumptions!$C$67*Assumptions!$C$18/12*IF(SUM(Assumptions!$C$21:$N$21)=0,1,12*Assumptions!I$21/SUM(Assumptions!$C$21:$N$21))*(1+Assumptions!$F$67)^0</f>
        <v/>
      </c>
      <c r="I12" s="274">
        <f>Assumptions!$C$67*Assumptions!$C$18/12*IF(SUM(Assumptions!$C$21:$N$21)=0,1,12*Assumptions!J$21/SUM(Assumptions!$C$21:$N$21))*(1+Assumptions!$F$67)^0</f>
        <v/>
      </c>
      <c r="J12" s="274">
        <f>Assumptions!$C$67*Assumptions!$C$18/12*IF(SUM(Assumptions!$C$21:$N$21)=0,1,12*Assumptions!K$21/SUM(Assumptions!$C$21:$N$21))*(1+Assumptions!$F$67)^0</f>
        <v/>
      </c>
      <c r="K12" s="274">
        <f>Assumptions!$C$67*Assumptions!$C$18/12*IF(SUM(Assumptions!$C$21:$N$21)=0,1,12*Assumptions!L$21/SUM(Assumptions!$C$21:$N$21))*(1+Assumptions!$F$67)^0</f>
        <v/>
      </c>
      <c r="L12" s="274">
        <f>Assumptions!$C$67*Assumptions!$C$18/12*IF(SUM(Assumptions!$C$21:$N$21)=0,1,12*Assumptions!M$21/SUM(Assumptions!$C$21:$N$21))*(1+Assumptions!$F$67)^0</f>
        <v/>
      </c>
      <c r="M12" s="274">
        <f>Assumptions!$C$67*Assumptions!$C$18/12*IF(SUM(Assumptions!$C$21:$N$21)=0,1,12*Assumptions!N$21/SUM(Assumptions!$C$21:$N$21))*(1+Assumptions!$F$67)^0</f>
        <v/>
      </c>
      <c r="N12" s="274">
        <f>SUM(B12:M12)</f>
        <v/>
      </c>
      <c r="O12" s="274">
        <f>Assumptions!$C$67*Assumptions!$D$18/12*IF(SUM(Assumptions!$C$21:$N$21)=0,1,12*Assumptions!C$21/SUM(Assumptions!$C$21:$N$21))*(1+Assumptions!$F$67)^1</f>
        <v/>
      </c>
      <c r="P12" s="274">
        <f>Assumptions!$C$67*Assumptions!$D$18/12*IF(SUM(Assumptions!$C$21:$N$21)=0,1,12*Assumptions!D$21/SUM(Assumptions!$C$21:$N$21))*(1+Assumptions!$F$67)^1</f>
        <v/>
      </c>
      <c r="Q12" s="274">
        <f>Assumptions!$C$67*Assumptions!$D$18/12*IF(SUM(Assumptions!$C$21:$N$21)=0,1,12*Assumptions!E$21/SUM(Assumptions!$C$21:$N$21))*(1+Assumptions!$F$67)^1</f>
        <v/>
      </c>
      <c r="R12" s="274">
        <f>Assumptions!$C$67*Assumptions!$D$18/12*IF(SUM(Assumptions!$C$21:$N$21)=0,1,12*Assumptions!F$21/SUM(Assumptions!$C$21:$N$21))*(1+Assumptions!$F$67)^1</f>
        <v/>
      </c>
      <c r="S12" s="274">
        <f>Assumptions!$C$67*Assumptions!$D$18/12*IF(SUM(Assumptions!$C$21:$N$21)=0,1,12*Assumptions!G$21/SUM(Assumptions!$C$21:$N$21))*(1+Assumptions!$F$67)^1</f>
        <v/>
      </c>
      <c r="T12" s="274">
        <f>Assumptions!$C$67*Assumptions!$D$18/12*IF(SUM(Assumptions!$C$21:$N$21)=0,1,12*Assumptions!H$21/SUM(Assumptions!$C$21:$N$21))*(1+Assumptions!$F$67)^1</f>
        <v/>
      </c>
      <c r="U12" s="274">
        <f>Assumptions!$C$67*Assumptions!$D$18/12*IF(SUM(Assumptions!$C$21:$N$21)=0,1,12*Assumptions!I$21/SUM(Assumptions!$C$21:$N$21))*(1+Assumptions!$F$67)^1</f>
        <v/>
      </c>
      <c r="V12" s="274">
        <f>Assumptions!$C$67*Assumptions!$D$18/12*IF(SUM(Assumptions!$C$21:$N$21)=0,1,12*Assumptions!J$21/SUM(Assumptions!$C$21:$N$21))*(1+Assumptions!$F$67)^1</f>
        <v/>
      </c>
      <c r="W12" s="274">
        <f>Assumptions!$C$67*Assumptions!$D$18/12*IF(SUM(Assumptions!$C$21:$N$21)=0,1,12*Assumptions!K$21/SUM(Assumptions!$C$21:$N$21))*(1+Assumptions!$F$67)^1</f>
        <v/>
      </c>
      <c r="X12" s="274">
        <f>Assumptions!$C$67*Assumptions!$D$18/12*IF(SUM(Assumptions!$C$21:$N$21)=0,1,12*Assumptions!L$21/SUM(Assumptions!$C$21:$N$21))*(1+Assumptions!$F$67)^1</f>
        <v/>
      </c>
      <c r="Y12" s="274">
        <f>Assumptions!$C$67*Assumptions!$D$18/12*IF(SUM(Assumptions!$C$21:$N$21)=0,1,12*Assumptions!M$21/SUM(Assumptions!$C$21:$N$21))*(1+Assumptions!$F$67)^1</f>
        <v/>
      </c>
      <c r="Z12" s="274">
        <f>Assumptions!$C$67*Assumptions!$D$18/12*IF(SUM(Assumptions!$C$21:$N$21)=0,1,12*Assumptions!N$21/SUM(Assumptions!$C$21:$N$21))*(1+Assumptions!$F$67)^1</f>
        <v/>
      </c>
      <c r="AA12" s="274">
        <f>SUM(O12:Z12)</f>
        <v/>
      </c>
      <c r="AB12" s="274">
        <f>Assumptions!$C$67*Assumptions!$E$18/12*IF(SUM(Assumptions!$C$21:$N$21)=0,1,12*Assumptions!C$21/SUM(Assumptions!$C$21:$N$21))*(1+Assumptions!$F$67)^2</f>
        <v/>
      </c>
      <c r="AC12" s="274">
        <f>Assumptions!$C$67*Assumptions!$E$18/12*IF(SUM(Assumptions!$C$21:$N$21)=0,1,12*Assumptions!D$21/SUM(Assumptions!$C$21:$N$21))*(1+Assumptions!$F$67)^2</f>
        <v/>
      </c>
      <c r="AD12" s="274">
        <f>Assumptions!$C$67*Assumptions!$E$18/12*IF(SUM(Assumptions!$C$21:$N$21)=0,1,12*Assumptions!E$21/SUM(Assumptions!$C$21:$N$21))*(1+Assumptions!$F$67)^2</f>
        <v/>
      </c>
      <c r="AE12" s="274">
        <f>Assumptions!$C$67*Assumptions!$E$18/12*IF(SUM(Assumptions!$C$21:$N$21)=0,1,12*Assumptions!F$21/SUM(Assumptions!$C$21:$N$21))*(1+Assumptions!$F$67)^2</f>
        <v/>
      </c>
      <c r="AF12" s="274">
        <f>Assumptions!$C$67*Assumptions!$E$18/12*IF(SUM(Assumptions!$C$21:$N$21)=0,1,12*Assumptions!G$21/SUM(Assumptions!$C$21:$N$21))*(1+Assumptions!$F$67)^2</f>
        <v/>
      </c>
      <c r="AG12" s="274">
        <f>Assumptions!$C$67*Assumptions!$E$18/12*IF(SUM(Assumptions!$C$21:$N$21)=0,1,12*Assumptions!H$21/SUM(Assumptions!$C$21:$N$21))*(1+Assumptions!$F$67)^2</f>
        <v/>
      </c>
      <c r="AH12" s="274">
        <f>Assumptions!$C$67*Assumptions!$E$18/12*IF(SUM(Assumptions!$C$21:$N$21)=0,1,12*Assumptions!I$21/SUM(Assumptions!$C$21:$N$21))*(1+Assumptions!$F$67)^2</f>
        <v/>
      </c>
      <c r="AI12" s="274">
        <f>Assumptions!$C$67*Assumptions!$E$18/12*IF(SUM(Assumptions!$C$21:$N$21)=0,1,12*Assumptions!J$21/SUM(Assumptions!$C$21:$N$21))*(1+Assumptions!$F$67)^2</f>
        <v/>
      </c>
      <c r="AJ12" s="274">
        <f>Assumptions!$C$67*Assumptions!$E$18/12*IF(SUM(Assumptions!$C$21:$N$21)=0,1,12*Assumptions!K$21/SUM(Assumptions!$C$21:$N$21))*(1+Assumptions!$F$67)^2</f>
        <v/>
      </c>
      <c r="AK12" s="274">
        <f>Assumptions!$C$67*Assumptions!$E$18/12*IF(SUM(Assumptions!$C$21:$N$21)=0,1,12*Assumptions!L$21/SUM(Assumptions!$C$21:$N$21))*(1+Assumptions!$F$67)^2</f>
        <v/>
      </c>
      <c r="AL12" s="274">
        <f>Assumptions!$C$67*Assumptions!$E$18/12*IF(SUM(Assumptions!$C$21:$N$21)=0,1,12*Assumptions!M$21/SUM(Assumptions!$C$21:$N$21))*(1+Assumptions!$F$67)^2</f>
        <v/>
      </c>
      <c r="AM12" s="274">
        <f>Assumptions!$C$67*Assumptions!$E$18/12*IF(SUM(Assumptions!$C$21:$N$21)=0,1,12*Assumptions!N$21/SUM(Assumptions!$C$21:$N$21))*(1+Assumptions!$F$67)^2</f>
        <v/>
      </c>
      <c r="AN12" s="274">
        <f>SUM(AB12:AM12)</f>
        <v/>
      </c>
      <c r="AO12" s="274">
        <f>Assumptions!$C$67*Assumptions!$F$18/12*IF(SUM(Assumptions!$C$21:$N$21)=0,1,12*Assumptions!C$21/SUM(Assumptions!$C$21:$N$21))*(1+Assumptions!$F$67)^3</f>
        <v/>
      </c>
      <c r="AP12" s="274">
        <f>Assumptions!$C$67*Assumptions!$F$18/12*IF(SUM(Assumptions!$C$21:$N$21)=0,1,12*Assumptions!D$21/SUM(Assumptions!$C$21:$N$21))*(1+Assumptions!$F$67)^3</f>
        <v/>
      </c>
      <c r="AQ12" s="274">
        <f>Assumptions!$C$67*Assumptions!$F$18/12*IF(SUM(Assumptions!$C$21:$N$21)=0,1,12*Assumptions!E$21/SUM(Assumptions!$C$21:$N$21))*(1+Assumptions!$F$67)^3</f>
        <v/>
      </c>
      <c r="AR12" s="274">
        <f>Assumptions!$C$67*Assumptions!$F$18/12*IF(SUM(Assumptions!$C$21:$N$21)=0,1,12*Assumptions!F$21/SUM(Assumptions!$C$21:$N$21))*(1+Assumptions!$F$67)^3</f>
        <v/>
      </c>
      <c r="AS12" s="274">
        <f>Assumptions!$C$67*Assumptions!$F$18/12*IF(SUM(Assumptions!$C$21:$N$21)=0,1,12*Assumptions!G$21/SUM(Assumptions!$C$21:$N$21))*(1+Assumptions!$F$67)^3</f>
        <v/>
      </c>
      <c r="AT12" s="274">
        <f>Assumptions!$C$67*Assumptions!$F$18/12*IF(SUM(Assumptions!$C$21:$N$21)=0,1,12*Assumptions!H$21/SUM(Assumptions!$C$21:$N$21))*(1+Assumptions!$F$67)^3</f>
        <v/>
      </c>
      <c r="AU12" s="274">
        <f>Assumptions!$C$67*Assumptions!$F$18/12*IF(SUM(Assumptions!$C$21:$N$21)=0,1,12*Assumptions!I$21/SUM(Assumptions!$C$21:$N$21))*(1+Assumptions!$F$67)^3</f>
        <v/>
      </c>
      <c r="AV12" s="274">
        <f>Assumptions!$C$67*Assumptions!$F$18/12*IF(SUM(Assumptions!$C$21:$N$21)=0,1,12*Assumptions!J$21/SUM(Assumptions!$C$21:$N$21))*(1+Assumptions!$F$67)^3</f>
        <v/>
      </c>
      <c r="AW12" s="274">
        <f>Assumptions!$C$67*Assumptions!$F$18/12*IF(SUM(Assumptions!$C$21:$N$21)=0,1,12*Assumptions!K$21/SUM(Assumptions!$C$21:$N$21))*(1+Assumptions!$F$67)^3</f>
        <v/>
      </c>
      <c r="AX12" s="274">
        <f>Assumptions!$C$67*Assumptions!$F$18/12*IF(SUM(Assumptions!$C$21:$N$21)=0,1,12*Assumptions!L$21/SUM(Assumptions!$C$21:$N$21))*(1+Assumptions!$F$67)^3</f>
        <v/>
      </c>
      <c r="AY12" s="274">
        <f>Assumptions!$C$67*Assumptions!$F$18/12*IF(SUM(Assumptions!$C$21:$N$21)=0,1,12*Assumptions!M$21/SUM(Assumptions!$C$21:$N$21))*(1+Assumptions!$F$67)^3</f>
        <v/>
      </c>
      <c r="AZ12" s="274">
        <f>Assumptions!$C$67*Assumptions!$F$18/12*IF(SUM(Assumptions!$C$21:$N$21)=0,1,12*Assumptions!N$21/SUM(Assumptions!$C$21:$N$21))*(1+Assumptions!$F$67)^3</f>
        <v/>
      </c>
      <c r="BA12" s="274">
        <f>SUM(AO12:AZ12)</f>
        <v/>
      </c>
      <c r="BB12" s="274">
        <f>Assumptions!$C$67*Assumptions!$G$18/12*IF(SUM(Assumptions!$C$21:$N$21)=0,1,12*Assumptions!C$21/SUM(Assumptions!$C$21:$N$21))*(1+Assumptions!$F$67)^4</f>
        <v/>
      </c>
      <c r="BC12" s="274">
        <f>Assumptions!$C$67*Assumptions!$G$18/12*IF(SUM(Assumptions!$C$21:$N$21)=0,1,12*Assumptions!D$21/SUM(Assumptions!$C$21:$N$21))*(1+Assumptions!$F$67)^4</f>
        <v/>
      </c>
      <c r="BD12" s="274">
        <f>Assumptions!$C$67*Assumptions!$G$18/12*IF(SUM(Assumptions!$C$21:$N$21)=0,1,12*Assumptions!E$21/SUM(Assumptions!$C$21:$N$21))*(1+Assumptions!$F$67)^4</f>
        <v/>
      </c>
      <c r="BE12" s="274">
        <f>Assumptions!$C$67*Assumptions!$G$18/12*IF(SUM(Assumptions!$C$21:$N$21)=0,1,12*Assumptions!F$21/SUM(Assumptions!$C$21:$N$21))*(1+Assumptions!$F$67)^4</f>
        <v/>
      </c>
      <c r="BF12" s="274">
        <f>Assumptions!$C$67*Assumptions!$G$18/12*IF(SUM(Assumptions!$C$21:$N$21)=0,1,12*Assumptions!G$21/SUM(Assumptions!$C$21:$N$21))*(1+Assumptions!$F$67)^4</f>
        <v/>
      </c>
      <c r="BG12" s="274">
        <f>Assumptions!$C$67*Assumptions!$G$18/12*IF(SUM(Assumptions!$C$21:$N$21)=0,1,12*Assumptions!H$21/SUM(Assumptions!$C$21:$N$21))*(1+Assumptions!$F$67)^4</f>
        <v/>
      </c>
      <c r="BH12" s="274">
        <f>Assumptions!$C$67*Assumptions!$G$18/12*IF(SUM(Assumptions!$C$21:$N$21)=0,1,12*Assumptions!I$21/SUM(Assumptions!$C$21:$N$21))*(1+Assumptions!$F$67)^4</f>
        <v/>
      </c>
      <c r="BI12" s="274">
        <f>Assumptions!$C$67*Assumptions!$G$18/12*IF(SUM(Assumptions!$C$21:$N$21)=0,1,12*Assumptions!J$21/SUM(Assumptions!$C$21:$N$21))*(1+Assumptions!$F$67)^4</f>
        <v/>
      </c>
      <c r="BJ12" s="274">
        <f>Assumptions!$C$67*Assumptions!$G$18/12*IF(SUM(Assumptions!$C$21:$N$21)=0,1,12*Assumptions!K$21/SUM(Assumptions!$C$21:$N$21))*(1+Assumptions!$F$67)^4</f>
        <v/>
      </c>
      <c r="BK12" s="274">
        <f>Assumptions!$C$67*Assumptions!$G$18/12*IF(SUM(Assumptions!$C$21:$N$21)=0,1,12*Assumptions!L$21/SUM(Assumptions!$C$21:$N$21))*(1+Assumptions!$F$67)^4</f>
        <v/>
      </c>
      <c r="BL12" s="274">
        <f>Assumptions!$C$67*Assumptions!$G$18/12*IF(SUM(Assumptions!$C$21:$N$21)=0,1,12*Assumptions!M$21/SUM(Assumptions!$C$21:$N$21))*(1+Assumptions!$F$67)^4</f>
        <v/>
      </c>
      <c r="BM12" s="274">
        <f>Assumptions!$C$67*Assumptions!$G$18/12*IF(SUM(Assumptions!$C$21:$N$21)=0,1,12*Assumptions!N$21/SUM(Assumptions!$C$21:$N$21))*(1+Assumptions!$F$67)^4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Assumptions!$C$68*Assumptions!$C$18/12*IF(SUM(Assumptions!$C$21:$N$21)=0,1,12*Assumptions!C$21/SUM(Assumptions!$C$21:$N$21))*(1+Assumptions!$F$68)^0</f>
        <v/>
      </c>
      <c r="C13" s="274">
        <f>Assumptions!$C$68*Assumptions!$C$18/12*IF(SUM(Assumptions!$C$21:$N$21)=0,1,12*Assumptions!D$21/SUM(Assumptions!$C$21:$N$21))*(1+Assumptions!$F$68)^0</f>
        <v/>
      </c>
      <c r="D13" s="274">
        <f>Assumptions!$C$68*Assumptions!$C$18/12*IF(SUM(Assumptions!$C$21:$N$21)=0,1,12*Assumptions!E$21/SUM(Assumptions!$C$21:$N$21))*(1+Assumptions!$F$68)^0</f>
        <v/>
      </c>
      <c r="E13" s="274">
        <f>Assumptions!$C$68*Assumptions!$C$18/12*IF(SUM(Assumptions!$C$21:$N$21)=0,1,12*Assumptions!F$21/SUM(Assumptions!$C$21:$N$21))*(1+Assumptions!$F$68)^0</f>
        <v/>
      </c>
      <c r="F13" s="274">
        <f>Assumptions!$C$68*Assumptions!$C$18/12*IF(SUM(Assumptions!$C$21:$N$21)=0,1,12*Assumptions!G$21/SUM(Assumptions!$C$21:$N$21))*(1+Assumptions!$F$68)^0</f>
        <v/>
      </c>
      <c r="G13" s="274">
        <f>Assumptions!$C$68*Assumptions!$C$18/12*IF(SUM(Assumptions!$C$21:$N$21)=0,1,12*Assumptions!H$21/SUM(Assumptions!$C$21:$N$21))*(1+Assumptions!$F$68)^0</f>
        <v/>
      </c>
      <c r="H13" s="274">
        <f>Assumptions!$C$68*Assumptions!$C$18/12*IF(SUM(Assumptions!$C$21:$N$21)=0,1,12*Assumptions!I$21/SUM(Assumptions!$C$21:$N$21))*(1+Assumptions!$F$68)^0</f>
        <v/>
      </c>
      <c r="I13" s="274">
        <f>Assumptions!$C$68*Assumptions!$C$18/12*IF(SUM(Assumptions!$C$21:$N$21)=0,1,12*Assumptions!J$21/SUM(Assumptions!$C$21:$N$21))*(1+Assumptions!$F$68)^0</f>
        <v/>
      </c>
      <c r="J13" s="274">
        <f>Assumptions!$C$68*Assumptions!$C$18/12*IF(SUM(Assumptions!$C$21:$N$21)=0,1,12*Assumptions!K$21/SUM(Assumptions!$C$21:$N$21))*(1+Assumptions!$F$68)^0</f>
        <v/>
      </c>
      <c r="K13" s="274">
        <f>Assumptions!$C$68*Assumptions!$C$18/12*IF(SUM(Assumptions!$C$21:$N$21)=0,1,12*Assumptions!L$21/SUM(Assumptions!$C$21:$N$21))*(1+Assumptions!$F$68)^0</f>
        <v/>
      </c>
      <c r="L13" s="274">
        <f>Assumptions!$C$68*Assumptions!$C$18/12*IF(SUM(Assumptions!$C$21:$N$21)=0,1,12*Assumptions!M$21/SUM(Assumptions!$C$21:$N$21))*(1+Assumptions!$F$68)^0</f>
        <v/>
      </c>
      <c r="M13" s="274">
        <f>Assumptions!$C$68*Assumptions!$C$18/12*IF(SUM(Assumptions!$C$21:$N$21)=0,1,12*Assumptions!N$21/SUM(Assumptions!$C$21:$N$21))*(1+Assumptions!$F$68)^0</f>
        <v/>
      </c>
      <c r="N13" s="274">
        <f>SUM(B13:M13)</f>
        <v/>
      </c>
      <c r="O13" s="274">
        <f>Assumptions!$C$68*Assumptions!$D$18/12*IF(SUM(Assumptions!$C$21:$N$21)=0,1,12*Assumptions!C$21/SUM(Assumptions!$C$21:$N$21))*(1+Assumptions!$F$68)^1</f>
        <v/>
      </c>
      <c r="P13" s="274">
        <f>Assumptions!$C$68*Assumptions!$D$18/12*IF(SUM(Assumptions!$C$21:$N$21)=0,1,12*Assumptions!D$21/SUM(Assumptions!$C$21:$N$21))*(1+Assumptions!$F$68)^1</f>
        <v/>
      </c>
      <c r="Q13" s="274">
        <f>Assumptions!$C$68*Assumptions!$D$18/12*IF(SUM(Assumptions!$C$21:$N$21)=0,1,12*Assumptions!E$21/SUM(Assumptions!$C$21:$N$21))*(1+Assumptions!$F$68)^1</f>
        <v/>
      </c>
      <c r="R13" s="274">
        <f>Assumptions!$C$68*Assumptions!$D$18/12*IF(SUM(Assumptions!$C$21:$N$21)=0,1,12*Assumptions!F$21/SUM(Assumptions!$C$21:$N$21))*(1+Assumptions!$F$68)^1</f>
        <v/>
      </c>
      <c r="S13" s="274">
        <f>Assumptions!$C$68*Assumptions!$D$18/12*IF(SUM(Assumptions!$C$21:$N$21)=0,1,12*Assumptions!G$21/SUM(Assumptions!$C$21:$N$21))*(1+Assumptions!$F$68)^1</f>
        <v/>
      </c>
      <c r="T13" s="274">
        <f>Assumptions!$C$68*Assumptions!$D$18/12*IF(SUM(Assumptions!$C$21:$N$21)=0,1,12*Assumptions!H$21/SUM(Assumptions!$C$21:$N$21))*(1+Assumptions!$F$68)^1</f>
        <v/>
      </c>
      <c r="U13" s="274">
        <f>Assumptions!$C$68*Assumptions!$D$18/12*IF(SUM(Assumptions!$C$21:$N$21)=0,1,12*Assumptions!I$21/SUM(Assumptions!$C$21:$N$21))*(1+Assumptions!$F$68)^1</f>
        <v/>
      </c>
      <c r="V13" s="274">
        <f>Assumptions!$C$68*Assumptions!$D$18/12*IF(SUM(Assumptions!$C$21:$N$21)=0,1,12*Assumptions!J$21/SUM(Assumptions!$C$21:$N$21))*(1+Assumptions!$F$68)^1</f>
        <v/>
      </c>
      <c r="W13" s="274">
        <f>Assumptions!$C$68*Assumptions!$D$18/12*IF(SUM(Assumptions!$C$21:$N$21)=0,1,12*Assumptions!K$21/SUM(Assumptions!$C$21:$N$21))*(1+Assumptions!$F$68)^1</f>
        <v/>
      </c>
      <c r="X13" s="274">
        <f>Assumptions!$C$68*Assumptions!$D$18/12*IF(SUM(Assumptions!$C$21:$N$21)=0,1,12*Assumptions!L$21/SUM(Assumptions!$C$21:$N$21))*(1+Assumptions!$F$68)^1</f>
        <v/>
      </c>
      <c r="Y13" s="274">
        <f>Assumptions!$C$68*Assumptions!$D$18/12*IF(SUM(Assumptions!$C$21:$N$21)=0,1,12*Assumptions!M$21/SUM(Assumptions!$C$21:$N$21))*(1+Assumptions!$F$68)^1</f>
        <v/>
      </c>
      <c r="Z13" s="274">
        <f>Assumptions!$C$68*Assumptions!$D$18/12*IF(SUM(Assumptions!$C$21:$N$21)=0,1,12*Assumptions!N$21/SUM(Assumptions!$C$21:$N$21))*(1+Assumptions!$F$68)^1</f>
        <v/>
      </c>
      <c r="AA13" s="274">
        <f>SUM(O13:Z13)</f>
        <v/>
      </c>
      <c r="AB13" s="274">
        <f>Assumptions!$C$68*Assumptions!$E$18/12*IF(SUM(Assumptions!$C$21:$N$21)=0,1,12*Assumptions!C$21/SUM(Assumptions!$C$21:$N$21))*(1+Assumptions!$F$68)^2</f>
        <v/>
      </c>
      <c r="AC13" s="274">
        <f>Assumptions!$C$68*Assumptions!$E$18/12*IF(SUM(Assumptions!$C$21:$N$21)=0,1,12*Assumptions!D$21/SUM(Assumptions!$C$21:$N$21))*(1+Assumptions!$F$68)^2</f>
        <v/>
      </c>
      <c r="AD13" s="274">
        <f>Assumptions!$C$68*Assumptions!$E$18/12*IF(SUM(Assumptions!$C$21:$N$21)=0,1,12*Assumptions!E$21/SUM(Assumptions!$C$21:$N$21))*(1+Assumptions!$F$68)^2</f>
        <v/>
      </c>
      <c r="AE13" s="274">
        <f>Assumptions!$C$68*Assumptions!$E$18/12*IF(SUM(Assumptions!$C$21:$N$21)=0,1,12*Assumptions!F$21/SUM(Assumptions!$C$21:$N$21))*(1+Assumptions!$F$68)^2</f>
        <v/>
      </c>
      <c r="AF13" s="274">
        <f>Assumptions!$C$68*Assumptions!$E$18/12*IF(SUM(Assumptions!$C$21:$N$21)=0,1,12*Assumptions!G$21/SUM(Assumptions!$C$21:$N$21))*(1+Assumptions!$F$68)^2</f>
        <v/>
      </c>
      <c r="AG13" s="274">
        <f>Assumptions!$C$68*Assumptions!$E$18/12*IF(SUM(Assumptions!$C$21:$N$21)=0,1,12*Assumptions!H$21/SUM(Assumptions!$C$21:$N$21))*(1+Assumptions!$F$68)^2</f>
        <v/>
      </c>
      <c r="AH13" s="274">
        <f>Assumptions!$C$68*Assumptions!$E$18/12*IF(SUM(Assumptions!$C$21:$N$21)=0,1,12*Assumptions!I$21/SUM(Assumptions!$C$21:$N$21))*(1+Assumptions!$F$68)^2</f>
        <v/>
      </c>
      <c r="AI13" s="274">
        <f>Assumptions!$C$68*Assumptions!$E$18/12*IF(SUM(Assumptions!$C$21:$N$21)=0,1,12*Assumptions!J$21/SUM(Assumptions!$C$21:$N$21))*(1+Assumptions!$F$68)^2</f>
        <v/>
      </c>
      <c r="AJ13" s="274">
        <f>Assumptions!$C$68*Assumptions!$E$18/12*IF(SUM(Assumptions!$C$21:$N$21)=0,1,12*Assumptions!K$21/SUM(Assumptions!$C$21:$N$21))*(1+Assumptions!$F$68)^2</f>
        <v/>
      </c>
      <c r="AK13" s="274">
        <f>Assumptions!$C$68*Assumptions!$E$18/12*IF(SUM(Assumptions!$C$21:$N$21)=0,1,12*Assumptions!L$21/SUM(Assumptions!$C$21:$N$21))*(1+Assumptions!$F$68)^2</f>
        <v/>
      </c>
      <c r="AL13" s="274">
        <f>Assumptions!$C$68*Assumptions!$E$18/12*IF(SUM(Assumptions!$C$21:$N$21)=0,1,12*Assumptions!M$21/SUM(Assumptions!$C$21:$N$21))*(1+Assumptions!$F$68)^2</f>
        <v/>
      </c>
      <c r="AM13" s="274">
        <f>Assumptions!$C$68*Assumptions!$E$18/12*IF(SUM(Assumptions!$C$21:$N$21)=0,1,12*Assumptions!N$21/SUM(Assumptions!$C$21:$N$21))*(1+Assumptions!$F$68)^2</f>
        <v/>
      </c>
      <c r="AN13" s="274">
        <f>SUM(AB13:AM13)</f>
        <v/>
      </c>
      <c r="AO13" s="274">
        <f>Assumptions!$C$68*Assumptions!$F$18/12*IF(SUM(Assumptions!$C$21:$N$21)=0,1,12*Assumptions!C$21/SUM(Assumptions!$C$21:$N$21))*(1+Assumptions!$F$68)^3</f>
        <v/>
      </c>
      <c r="AP13" s="274">
        <f>Assumptions!$C$68*Assumptions!$F$18/12*IF(SUM(Assumptions!$C$21:$N$21)=0,1,12*Assumptions!D$21/SUM(Assumptions!$C$21:$N$21))*(1+Assumptions!$F$68)^3</f>
        <v/>
      </c>
      <c r="AQ13" s="274">
        <f>Assumptions!$C$68*Assumptions!$F$18/12*IF(SUM(Assumptions!$C$21:$N$21)=0,1,12*Assumptions!E$21/SUM(Assumptions!$C$21:$N$21))*(1+Assumptions!$F$68)^3</f>
        <v/>
      </c>
      <c r="AR13" s="274">
        <f>Assumptions!$C$68*Assumptions!$F$18/12*IF(SUM(Assumptions!$C$21:$N$21)=0,1,12*Assumptions!F$21/SUM(Assumptions!$C$21:$N$21))*(1+Assumptions!$F$68)^3</f>
        <v/>
      </c>
      <c r="AS13" s="274">
        <f>Assumptions!$C$68*Assumptions!$F$18/12*IF(SUM(Assumptions!$C$21:$N$21)=0,1,12*Assumptions!G$21/SUM(Assumptions!$C$21:$N$21))*(1+Assumptions!$F$68)^3</f>
        <v/>
      </c>
      <c r="AT13" s="274">
        <f>Assumptions!$C$68*Assumptions!$F$18/12*IF(SUM(Assumptions!$C$21:$N$21)=0,1,12*Assumptions!H$21/SUM(Assumptions!$C$21:$N$21))*(1+Assumptions!$F$68)^3</f>
        <v/>
      </c>
      <c r="AU13" s="274">
        <f>Assumptions!$C$68*Assumptions!$F$18/12*IF(SUM(Assumptions!$C$21:$N$21)=0,1,12*Assumptions!I$21/SUM(Assumptions!$C$21:$N$21))*(1+Assumptions!$F$68)^3</f>
        <v/>
      </c>
      <c r="AV13" s="274">
        <f>Assumptions!$C$68*Assumptions!$F$18/12*IF(SUM(Assumptions!$C$21:$N$21)=0,1,12*Assumptions!J$21/SUM(Assumptions!$C$21:$N$21))*(1+Assumptions!$F$68)^3</f>
        <v/>
      </c>
      <c r="AW13" s="274">
        <f>Assumptions!$C$68*Assumptions!$F$18/12*IF(SUM(Assumptions!$C$21:$N$21)=0,1,12*Assumptions!K$21/SUM(Assumptions!$C$21:$N$21))*(1+Assumptions!$F$68)^3</f>
        <v/>
      </c>
      <c r="AX13" s="274">
        <f>Assumptions!$C$68*Assumptions!$F$18/12*IF(SUM(Assumptions!$C$21:$N$21)=0,1,12*Assumptions!L$21/SUM(Assumptions!$C$21:$N$21))*(1+Assumptions!$F$68)^3</f>
        <v/>
      </c>
      <c r="AY13" s="274">
        <f>Assumptions!$C$68*Assumptions!$F$18/12*IF(SUM(Assumptions!$C$21:$N$21)=0,1,12*Assumptions!M$21/SUM(Assumptions!$C$21:$N$21))*(1+Assumptions!$F$68)^3</f>
        <v/>
      </c>
      <c r="AZ13" s="274">
        <f>Assumptions!$C$68*Assumptions!$F$18/12*IF(SUM(Assumptions!$C$21:$N$21)=0,1,12*Assumptions!N$21/SUM(Assumptions!$C$21:$N$21))*(1+Assumptions!$F$68)^3</f>
        <v/>
      </c>
      <c r="BA13" s="274">
        <f>SUM(AO13:AZ13)</f>
        <v/>
      </c>
      <c r="BB13" s="274">
        <f>Assumptions!$C$68*Assumptions!$G$18/12*IF(SUM(Assumptions!$C$21:$N$21)=0,1,12*Assumptions!C$21/SUM(Assumptions!$C$21:$N$21))*(1+Assumptions!$F$68)^4</f>
        <v/>
      </c>
      <c r="BC13" s="274">
        <f>Assumptions!$C$68*Assumptions!$G$18/12*IF(SUM(Assumptions!$C$21:$N$21)=0,1,12*Assumptions!D$21/SUM(Assumptions!$C$21:$N$21))*(1+Assumptions!$F$68)^4</f>
        <v/>
      </c>
      <c r="BD13" s="274">
        <f>Assumptions!$C$68*Assumptions!$G$18/12*IF(SUM(Assumptions!$C$21:$N$21)=0,1,12*Assumptions!E$21/SUM(Assumptions!$C$21:$N$21))*(1+Assumptions!$F$68)^4</f>
        <v/>
      </c>
      <c r="BE13" s="274">
        <f>Assumptions!$C$68*Assumptions!$G$18/12*IF(SUM(Assumptions!$C$21:$N$21)=0,1,12*Assumptions!F$21/SUM(Assumptions!$C$21:$N$21))*(1+Assumptions!$F$68)^4</f>
        <v/>
      </c>
      <c r="BF13" s="274">
        <f>Assumptions!$C$68*Assumptions!$G$18/12*IF(SUM(Assumptions!$C$21:$N$21)=0,1,12*Assumptions!G$21/SUM(Assumptions!$C$21:$N$21))*(1+Assumptions!$F$68)^4</f>
        <v/>
      </c>
      <c r="BG13" s="274">
        <f>Assumptions!$C$68*Assumptions!$G$18/12*IF(SUM(Assumptions!$C$21:$N$21)=0,1,12*Assumptions!H$21/SUM(Assumptions!$C$21:$N$21))*(1+Assumptions!$F$68)^4</f>
        <v/>
      </c>
      <c r="BH13" s="274">
        <f>Assumptions!$C$68*Assumptions!$G$18/12*IF(SUM(Assumptions!$C$21:$N$21)=0,1,12*Assumptions!I$21/SUM(Assumptions!$C$21:$N$21))*(1+Assumptions!$F$68)^4</f>
        <v/>
      </c>
      <c r="BI13" s="274">
        <f>Assumptions!$C$68*Assumptions!$G$18/12*IF(SUM(Assumptions!$C$21:$N$21)=0,1,12*Assumptions!J$21/SUM(Assumptions!$C$21:$N$21))*(1+Assumptions!$F$68)^4</f>
        <v/>
      </c>
      <c r="BJ13" s="274">
        <f>Assumptions!$C$68*Assumptions!$G$18/12*IF(SUM(Assumptions!$C$21:$N$21)=0,1,12*Assumptions!K$21/SUM(Assumptions!$C$21:$N$21))*(1+Assumptions!$F$68)^4</f>
        <v/>
      </c>
      <c r="BK13" s="274">
        <f>Assumptions!$C$68*Assumptions!$G$18/12*IF(SUM(Assumptions!$C$21:$N$21)=0,1,12*Assumptions!L$21/SUM(Assumptions!$C$21:$N$21))*(1+Assumptions!$F$68)^4</f>
        <v/>
      </c>
      <c r="BL13" s="274">
        <f>Assumptions!$C$68*Assumptions!$G$18/12*IF(SUM(Assumptions!$C$21:$N$21)=0,1,12*Assumptions!M$21/SUM(Assumptions!$C$21:$N$21))*(1+Assumptions!$F$68)^4</f>
        <v/>
      </c>
      <c r="BM13" s="274">
        <f>Assumptions!$C$68*Assumptions!$G$18/12*IF(SUM(Assumptions!$C$21:$N$21)=0,1,12*Assumptions!N$21/SUM(Assumptions!$C$21:$N$21))*(1+Assumptions!$F$68)^4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Assumptions!$C$69*Assumptions!$C$18/12*IF(SUM(Assumptions!$C$21:$N$21)=0,1,12*Assumptions!C$21/SUM(Assumptions!$C$21:$N$21))*(1+Assumptions!$F$69)^0</f>
        <v/>
      </c>
      <c r="C14" s="274">
        <f>Assumptions!$C$69*Assumptions!$C$18/12*IF(SUM(Assumptions!$C$21:$N$21)=0,1,12*Assumptions!D$21/SUM(Assumptions!$C$21:$N$21))*(1+Assumptions!$F$69)^0</f>
        <v/>
      </c>
      <c r="D14" s="274">
        <f>Assumptions!$C$69*Assumptions!$C$18/12*IF(SUM(Assumptions!$C$21:$N$21)=0,1,12*Assumptions!E$21/SUM(Assumptions!$C$21:$N$21))*(1+Assumptions!$F$69)^0</f>
        <v/>
      </c>
      <c r="E14" s="274">
        <f>Assumptions!$C$69*Assumptions!$C$18/12*IF(SUM(Assumptions!$C$21:$N$21)=0,1,12*Assumptions!F$21/SUM(Assumptions!$C$21:$N$21))*(1+Assumptions!$F$69)^0</f>
        <v/>
      </c>
      <c r="F14" s="274">
        <f>Assumptions!$C$69*Assumptions!$C$18/12*IF(SUM(Assumptions!$C$21:$N$21)=0,1,12*Assumptions!G$21/SUM(Assumptions!$C$21:$N$21))*(1+Assumptions!$F$69)^0</f>
        <v/>
      </c>
      <c r="G14" s="274">
        <f>Assumptions!$C$69*Assumptions!$C$18/12*IF(SUM(Assumptions!$C$21:$N$21)=0,1,12*Assumptions!H$21/SUM(Assumptions!$C$21:$N$21))*(1+Assumptions!$F$69)^0</f>
        <v/>
      </c>
      <c r="H14" s="274">
        <f>Assumptions!$C$69*Assumptions!$C$18/12*IF(SUM(Assumptions!$C$21:$N$21)=0,1,12*Assumptions!I$21/SUM(Assumptions!$C$21:$N$21))*(1+Assumptions!$F$69)^0</f>
        <v/>
      </c>
      <c r="I14" s="274">
        <f>Assumptions!$C$69*Assumptions!$C$18/12*IF(SUM(Assumptions!$C$21:$N$21)=0,1,12*Assumptions!J$21/SUM(Assumptions!$C$21:$N$21))*(1+Assumptions!$F$69)^0</f>
        <v/>
      </c>
      <c r="J14" s="274">
        <f>Assumptions!$C$69*Assumptions!$C$18/12*IF(SUM(Assumptions!$C$21:$N$21)=0,1,12*Assumptions!K$21/SUM(Assumptions!$C$21:$N$21))*(1+Assumptions!$F$69)^0</f>
        <v/>
      </c>
      <c r="K14" s="274">
        <f>Assumptions!$C$69*Assumptions!$C$18/12*IF(SUM(Assumptions!$C$21:$N$21)=0,1,12*Assumptions!L$21/SUM(Assumptions!$C$21:$N$21))*(1+Assumptions!$F$69)^0</f>
        <v/>
      </c>
      <c r="L14" s="274">
        <f>Assumptions!$C$69*Assumptions!$C$18/12*IF(SUM(Assumptions!$C$21:$N$21)=0,1,12*Assumptions!M$21/SUM(Assumptions!$C$21:$N$21))*(1+Assumptions!$F$69)^0</f>
        <v/>
      </c>
      <c r="M14" s="274">
        <f>Assumptions!$C$69*Assumptions!$C$18/12*IF(SUM(Assumptions!$C$21:$N$21)=0,1,12*Assumptions!N$21/SUM(Assumptions!$C$21:$N$21))*(1+Assumptions!$F$69)^0</f>
        <v/>
      </c>
      <c r="N14" s="274">
        <f>SUM(B14:M14)</f>
        <v/>
      </c>
      <c r="O14" s="274">
        <f>Assumptions!$C$69*Assumptions!$D$18/12*IF(SUM(Assumptions!$C$21:$N$21)=0,1,12*Assumptions!C$21/SUM(Assumptions!$C$21:$N$21))*(1+Assumptions!$F$69)^1</f>
        <v/>
      </c>
      <c r="P14" s="274">
        <f>Assumptions!$C$69*Assumptions!$D$18/12*IF(SUM(Assumptions!$C$21:$N$21)=0,1,12*Assumptions!D$21/SUM(Assumptions!$C$21:$N$21))*(1+Assumptions!$F$69)^1</f>
        <v/>
      </c>
      <c r="Q14" s="274">
        <f>Assumptions!$C$69*Assumptions!$D$18/12*IF(SUM(Assumptions!$C$21:$N$21)=0,1,12*Assumptions!E$21/SUM(Assumptions!$C$21:$N$21))*(1+Assumptions!$F$69)^1</f>
        <v/>
      </c>
      <c r="R14" s="274">
        <f>Assumptions!$C$69*Assumptions!$D$18/12*IF(SUM(Assumptions!$C$21:$N$21)=0,1,12*Assumptions!F$21/SUM(Assumptions!$C$21:$N$21))*(1+Assumptions!$F$69)^1</f>
        <v/>
      </c>
      <c r="S14" s="274">
        <f>Assumptions!$C$69*Assumptions!$D$18/12*IF(SUM(Assumptions!$C$21:$N$21)=0,1,12*Assumptions!G$21/SUM(Assumptions!$C$21:$N$21))*(1+Assumptions!$F$69)^1</f>
        <v/>
      </c>
      <c r="T14" s="274">
        <f>Assumptions!$C$69*Assumptions!$D$18/12*IF(SUM(Assumptions!$C$21:$N$21)=0,1,12*Assumptions!H$21/SUM(Assumptions!$C$21:$N$21))*(1+Assumptions!$F$69)^1</f>
        <v/>
      </c>
      <c r="U14" s="274">
        <f>Assumptions!$C$69*Assumptions!$D$18/12*IF(SUM(Assumptions!$C$21:$N$21)=0,1,12*Assumptions!I$21/SUM(Assumptions!$C$21:$N$21))*(1+Assumptions!$F$69)^1</f>
        <v/>
      </c>
      <c r="V14" s="274">
        <f>Assumptions!$C$69*Assumptions!$D$18/12*IF(SUM(Assumptions!$C$21:$N$21)=0,1,12*Assumptions!J$21/SUM(Assumptions!$C$21:$N$21))*(1+Assumptions!$F$69)^1</f>
        <v/>
      </c>
      <c r="W14" s="274">
        <f>Assumptions!$C$69*Assumptions!$D$18/12*IF(SUM(Assumptions!$C$21:$N$21)=0,1,12*Assumptions!K$21/SUM(Assumptions!$C$21:$N$21))*(1+Assumptions!$F$69)^1</f>
        <v/>
      </c>
      <c r="X14" s="274">
        <f>Assumptions!$C$69*Assumptions!$D$18/12*IF(SUM(Assumptions!$C$21:$N$21)=0,1,12*Assumptions!L$21/SUM(Assumptions!$C$21:$N$21))*(1+Assumptions!$F$69)^1</f>
        <v/>
      </c>
      <c r="Y14" s="274">
        <f>Assumptions!$C$69*Assumptions!$D$18/12*IF(SUM(Assumptions!$C$21:$N$21)=0,1,12*Assumptions!M$21/SUM(Assumptions!$C$21:$N$21))*(1+Assumptions!$F$69)^1</f>
        <v/>
      </c>
      <c r="Z14" s="274">
        <f>Assumptions!$C$69*Assumptions!$D$18/12*IF(SUM(Assumptions!$C$21:$N$21)=0,1,12*Assumptions!N$21/SUM(Assumptions!$C$21:$N$21))*(1+Assumptions!$F$69)^1</f>
        <v/>
      </c>
      <c r="AA14" s="274">
        <f>SUM(O14:Z14)</f>
        <v/>
      </c>
      <c r="AB14" s="274">
        <f>Assumptions!$C$69*Assumptions!$E$18/12*IF(SUM(Assumptions!$C$21:$N$21)=0,1,12*Assumptions!C$21/SUM(Assumptions!$C$21:$N$21))*(1+Assumptions!$F$69)^2</f>
        <v/>
      </c>
      <c r="AC14" s="274">
        <f>Assumptions!$C$69*Assumptions!$E$18/12*IF(SUM(Assumptions!$C$21:$N$21)=0,1,12*Assumptions!D$21/SUM(Assumptions!$C$21:$N$21))*(1+Assumptions!$F$69)^2</f>
        <v/>
      </c>
      <c r="AD14" s="274">
        <f>Assumptions!$C$69*Assumptions!$E$18/12*IF(SUM(Assumptions!$C$21:$N$21)=0,1,12*Assumptions!E$21/SUM(Assumptions!$C$21:$N$21))*(1+Assumptions!$F$69)^2</f>
        <v/>
      </c>
      <c r="AE14" s="274">
        <f>Assumptions!$C$69*Assumptions!$E$18/12*IF(SUM(Assumptions!$C$21:$N$21)=0,1,12*Assumptions!F$21/SUM(Assumptions!$C$21:$N$21))*(1+Assumptions!$F$69)^2</f>
        <v/>
      </c>
      <c r="AF14" s="274">
        <f>Assumptions!$C$69*Assumptions!$E$18/12*IF(SUM(Assumptions!$C$21:$N$21)=0,1,12*Assumptions!G$21/SUM(Assumptions!$C$21:$N$21))*(1+Assumptions!$F$69)^2</f>
        <v/>
      </c>
      <c r="AG14" s="274">
        <f>Assumptions!$C$69*Assumptions!$E$18/12*IF(SUM(Assumptions!$C$21:$N$21)=0,1,12*Assumptions!H$21/SUM(Assumptions!$C$21:$N$21))*(1+Assumptions!$F$69)^2</f>
        <v/>
      </c>
      <c r="AH14" s="274">
        <f>Assumptions!$C$69*Assumptions!$E$18/12*IF(SUM(Assumptions!$C$21:$N$21)=0,1,12*Assumptions!I$21/SUM(Assumptions!$C$21:$N$21))*(1+Assumptions!$F$69)^2</f>
        <v/>
      </c>
      <c r="AI14" s="274">
        <f>Assumptions!$C$69*Assumptions!$E$18/12*IF(SUM(Assumptions!$C$21:$N$21)=0,1,12*Assumptions!J$21/SUM(Assumptions!$C$21:$N$21))*(1+Assumptions!$F$69)^2</f>
        <v/>
      </c>
      <c r="AJ14" s="274">
        <f>Assumptions!$C$69*Assumptions!$E$18/12*IF(SUM(Assumptions!$C$21:$N$21)=0,1,12*Assumptions!K$21/SUM(Assumptions!$C$21:$N$21))*(1+Assumptions!$F$69)^2</f>
        <v/>
      </c>
      <c r="AK14" s="274">
        <f>Assumptions!$C$69*Assumptions!$E$18/12*IF(SUM(Assumptions!$C$21:$N$21)=0,1,12*Assumptions!L$21/SUM(Assumptions!$C$21:$N$21))*(1+Assumptions!$F$69)^2</f>
        <v/>
      </c>
      <c r="AL14" s="274">
        <f>Assumptions!$C$69*Assumptions!$E$18/12*IF(SUM(Assumptions!$C$21:$N$21)=0,1,12*Assumptions!M$21/SUM(Assumptions!$C$21:$N$21))*(1+Assumptions!$F$69)^2</f>
        <v/>
      </c>
      <c r="AM14" s="274">
        <f>Assumptions!$C$69*Assumptions!$E$18/12*IF(SUM(Assumptions!$C$21:$N$21)=0,1,12*Assumptions!N$21/SUM(Assumptions!$C$21:$N$21))*(1+Assumptions!$F$69)^2</f>
        <v/>
      </c>
      <c r="AN14" s="274">
        <f>SUM(AB14:AM14)</f>
        <v/>
      </c>
      <c r="AO14" s="274">
        <f>Assumptions!$C$69*Assumptions!$F$18/12*IF(SUM(Assumptions!$C$21:$N$21)=0,1,12*Assumptions!C$21/SUM(Assumptions!$C$21:$N$21))*(1+Assumptions!$F$69)^3</f>
        <v/>
      </c>
      <c r="AP14" s="274">
        <f>Assumptions!$C$69*Assumptions!$F$18/12*IF(SUM(Assumptions!$C$21:$N$21)=0,1,12*Assumptions!D$21/SUM(Assumptions!$C$21:$N$21))*(1+Assumptions!$F$69)^3</f>
        <v/>
      </c>
      <c r="AQ14" s="274">
        <f>Assumptions!$C$69*Assumptions!$F$18/12*IF(SUM(Assumptions!$C$21:$N$21)=0,1,12*Assumptions!E$21/SUM(Assumptions!$C$21:$N$21))*(1+Assumptions!$F$69)^3</f>
        <v/>
      </c>
      <c r="AR14" s="274">
        <f>Assumptions!$C$69*Assumptions!$F$18/12*IF(SUM(Assumptions!$C$21:$N$21)=0,1,12*Assumptions!F$21/SUM(Assumptions!$C$21:$N$21))*(1+Assumptions!$F$69)^3</f>
        <v/>
      </c>
      <c r="AS14" s="274">
        <f>Assumptions!$C$69*Assumptions!$F$18/12*IF(SUM(Assumptions!$C$21:$N$21)=0,1,12*Assumptions!G$21/SUM(Assumptions!$C$21:$N$21))*(1+Assumptions!$F$69)^3</f>
        <v/>
      </c>
      <c r="AT14" s="274">
        <f>Assumptions!$C$69*Assumptions!$F$18/12*IF(SUM(Assumptions!$C$21:$N$21)=0,1,12*Assumptions!H$21/SUM(Assumptions!$C$21:$N$21))*(1+Assumptions!$F$69)^3</f>
        <v/>
      </c>
      <c r="AU14" s="274">
        <f>Assumptions!$C$69*Assumptions!$F$18/12*IF(SUM(Assumptions!$C$21:$N$21)=0,1,12*Assumptions!I$21/SUM(Assumptions!$C$21:$N$21))*(1+Assumptions!$F$69)^3</f>
        <v/>
      </c>
      <c r="AV14" s="274">
        <f>Assumptions!$C$69*Assumptions!$F$18/12*IF(SUM(Assumptions!$C$21:$N$21)=0,1,12*Assumptions!J$21/SUM(Assumptions!$C$21:$N$21))*(1+Assumptions!$F$69)^3</f>
        <v/>
      </c>
      <c r="AW14" s="274">
        <f>Assumptions!$C$69*Assumptions!$F$18/12*IF(SUM(Assumptions!$C$21:$N$21)=0,1,12*Assumptions!K$21/SUM(Assumptions!$C$21:$N$21))*(1+Assumptions!$F$69)^3</f>
        <v/>
      </c>
      <c r="AX14" s="274">
        <f>Assumptions!$C$69*Assumptions!$F$18/12*IF(SUM(Assumptions!$C$21:$N$21)=0,1,12*Assumptions!L$21/SUM(Assumptions!$C$21:$N$21))*(1+Assumptions!$F$69)^3</f>
        <v/>
      </c>
      <c r="AY14" s="274">
        <f>Assumptions!$C$69*Assumptions!$F$18/12*IF(SUM(Assumptions!$C$21:$N$21)=0,1,12*Assumptions!M$21/SUM(Assumptions!$C$21:$N$21))*(1+Assumptions!$F$69)^3</f>
        <v/>
      </c>
      <c r="AZ14" s="274">
        <f>Assumptions!$C$69*Assumptions!$F$18/12*IF(SUM(Assumptions!$C$21:$N$21)=0,1,12*Assumptions!N$21/SUM(Assumptions!$C$21:$N$21))*(1+Assumptions!$F$69)^3</f>
        <v/>
      </c>
      <c r="BA14" s="274">
        <f>SUM(AO14:AZ14)</f>
        <v/>
      </c>
      <c r="BB14" s="274">
        <f>Assumptions!$C$69*Assumptions!$G$18/12*IF(SUM(Assumptions!$C$21:$N$21)=0,1,12*Assumptions!C$21/SUM(Assumptions!$C$21:$N$21))*(1+Assumptions!$F$69)^4</f>
        <v/>
      </c>
      <c r="BC14" s="274">
        <f>Assumptions!$C$69*Assumptions!$G$18/12*IF(SUM(Assumptions!$C$21:$N$21)=0,1,12*Assumptions!D$21/SUM(Assumptions!$C$21:$N$21))*(1+Assumptions!$F$69)^4</f>
        <v/>
      </c>
      <c r="BD14" s="274">
        <f>Assumptions!$C$69*Assumptions!$G$18/12*IF(SUM(Assumptions!$C$21:$N$21)=0,1,12*Assumptions!E$21/SUM(Assumptions!$C$21:$N$21))*(1+Assumptions!$F$69)^4</f>
        <v/>
      </c>
      <c r="BE14" s="274">
        <f>Assumptions!$C$69*Assumptions!$G$18/12*IF(SUM(Assumptions!$C$21:$N$21)=0,1,12*Assumptions!F$21/SUM(Assumptions!$C$21:$N$21))*(1+Assumptions!$F$69)^4</f>
        <v/>
      </c>
      <c r="BF14" s="274">
        <f>Assumptions!$C$69*Assumptions!$G$18/12*IF(SUM(Assumptions!$C$21:$N$21)=0,1,12*Assumptions!G$21/SUM(Assumptions!$C$21:$N$21))*(1+Assumptions!$F$69)^4</f>
        <v/>
      </c>
      <c r="BG14" s="274">
        <f>Assumptions!$C$69*Assumptions!$G$18/12*IF(SUM(Assumptions!$C$21:$N$21)=0,1,12*Assumptions!H$21/SUM(Assumptions!$C$21:$N$21))*(1+Assumptions!$F$69)^4</f>
        <v/>
      </c>
      <c r="BH14" s="274">
        <f>Assumptions!$C$69*Assumptions!$G$18/12*IF(SUM(Assumptions!$C$21:$N$21)=0,1,12*Assumptions!I$21/SUM(Assumptions!$C$21:$N$21))*(1+Assumptions!$F$69)^4</f>
        <v/>
      </c>
      <c r="BI14" s="274">
        <f>Assumptions!$C$69*Assumptions!$G$18/12*IF(SUM(Assumptions!$C$21:$N$21)=0,1,12*Assumptions!J$21/SUM(Assumptions!$C$21:$N$21))*(1+Assumptions!$F$69)^4</f>
        <v/>
      </c>
      <c r="BJ14" s="274">
        <f>Assumptions!$C$69*Assumptions!$G$18/12*IF(SUM(Assumptions!$C$21:$N$21)=0,1,12*Assumptions!K$21/SUM(Assumptions!$C$21:$N$21))*(1+Assumptions!$F$69)^4</f>
        <v/>
      </c>
      <c r="BK14" s="274">
        <f>Assumptions!$C$69*Assumptions!$G$18/12*IF(SUM(Assumptions!$C$21:$N$21)=0,1,12*Assumptions!L$21/SUM(Assumptions!$C$21:$N$21))*(1+Assumptions!$F$69)^4</f>
        <v/>
      </c>
      <c r="BL14" s="274">
        <f>Assumptions!$C$69*Assumptions!$G$18/12*IF(SUM(Assumptions!$C$21:$N$21)=0,1,12*Assumptions!M$21/SUM(Assumptions!$C$21:$N$21))*(1+Assumptions!$F$69)^4</f>
        <v/>
      </c>
      <c r="BM14" s="274">
        <f>Assumptions!$C$69*Assumptions!$G$18/12*IF(SUM(Assumptions!$C$21:$N$21)=0,1,12*Assumptions!N$21/SUM(Assumptions!$C$21:$N$21))*(1+Assumptions!$F$69)^4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Assumptions!$D$66*(1+Assumptions!$E$66)^0</f>
        <v/>
      </c>
      <c r="C11" s="290">
        <f>Assumptions!$D$66*(1+Assumptions!$E$66)^0</f>
        <v/>
      </c>
      <c r="D11" s="290">
        <f>Assumptions!$D$66*(1+Assumptions!$E$66)^0</f>
        <v/>
      </c>
      <c r="E11" s="290">
        <f>Assumptions!$D$66*(1+Assumptions!$E$66)^0</f>
        <v/>
      </c>
      <c r="F11" s="290">
        <f>Assumptions!$D$66*(1+Assumptions!$E$66)^0</f>
        <v/>
      </c>
      <c r="G11" s="290">
        <f>Assumptions!$D$66*(1+Assumptions!$E$66)^0</f>
        <v/>
      </c>
      <c r="H11" s="290">
        <f>Assumptions!$D$66*(1+Assumptions!$E$66)^0</f>
        <v/>
      </c>
      <c r="I11" s="290">
        <f>Assumptions!$D$66*(1+Assumptions!$E$66)^0</f>
        <v/>
      </c>
      <c r="J11" s="290">
        <f>Assumptions!$D$66*(1+Assumptions!$E$66)^0</f>
        <v/>
      </c>
      <c r="K11" s="290">
        <f>Assumptions!$D$66*(1+Assumptions!$E$66)^0</f>
        <v/>
      </c>
      <c r="L11" s="290">
        <f>Assumptions!$D$66*(1+Assumptions!$E$66)^0</f>
        <v/>
      </c>
      <c r="M11" s="290">
        <f>Assumptions!$D$66*(1+Assumptions!$E$66)^0</f>
        <v/>
      </c>
      <c r="N11" s="290">
        <f>B11</f>
        <v/>
      </c>
      <c r="O11" s="290">
        <f>Assumptions!$D$66*(1+Assumptions!$E$66)^1</f>
        <v/>
      </c>
      <c r="P11" s="290">
        <f>Assumptions!$D$66*(1+Assumptions!$E$66)^1</f>
        <v/>
      </c>
      <c r="Q11" s="290">
        <f>Assumptions!$D$66*(1+Assumptions!$E$66)^1</f>
        <v/>
      </c>
      <c r="R11" s="290">
        <f>Assumptions!$D$66*(1+Assumptions!$E$66)^1</f>
        <v/>
      </c>
      <c r="S11" s="290">
        <f>Assumptions!$D$66*(1+Assumptions!$E$66)^1</f>
        <v/>
      </c>
      <c r="T11" s="290">
        <f>Assumptions!$D$66*(1+Assumptions!$E$66)^1</f>
        <v/>
      </c>
      <c r="U11" s="290">
        <f>Assumptions!$D$66*(1+Assumptions!$E$66)^1</f>
        <v/>
      </c>
      <c r="V11" s="290">
        <f>Assumptions!$D$66*(1+Assumptions!$E$66)^1</f>
        <v/>
      </c>
      <c r="W11" s="290">
        <f>Assumptions!$D$66*(1+Assumptions!$E$66)^1</f>
        <v/>
      </c>
      <c r="X11" s="290">
        <f>Assumptions!$D$66*(1+Assumptions!$E$66)^1</f>
        <v/>
      </c>
      <c r="Y11" s="290">
        <f>Assumptions!$D$66*(1+Assumptions!$E$66)^1</f>
        <v/>
      </c>
      <c r="Z11" s="290">
        <f>Assumptions!$D$66*(1+Assumptions!$E$66)^1</f>
        <v/>
      </c>
      <c r="AA11" s="290">
        <f>O11</f>
        <v/>
      </c>
      <c r="AB11" s="290">
        <f>Assumptions!$D$66*(1+Assumptions!$E$66)^2</f>
        <v/>
      </c>
      <c r="AC11" s="290">
        <f>Assumptions!$D$66*(1+Assumptions!$E$66)^2</f>
        <v/>
      </c>
      <c r="AD11" s="290">
        <f>Assumptions!$D$66*(1+Assumptions!$E$66)^2</f>
        <v/>
      </c>
      <c r="AE11" s="290">
        <f>Assumptions!$D$66*(1+Assumptions!$E$66)^2</f>
        <v/>
      </c>
      <c r="AF11" s="290">
        <f>Assumptions!$D$66*(1+Assumptions!$E$66)^2</f>
        <v/>
      </c>
      <c r="AG11" s="290">
        <f>Assumptions!$D$66*(1+Assumptions!$E$66)^2</f>
        <v/>
      </c>
      <c r="AH11" s="290">
        <f>Assumptions!$D$66*(1+Assumptions!$E$66)^2</f>
        <v/>
      </c>
      <c r="AI11" s="290">
        <f>Assumptions!$D$66*(1+Assumptions!$E$66)^2</f>
        <v/>
      </c>
      <c r="AJ11" s="290">
        <f>Assumptions!$D$66*(1+Assumptions!$E$66)^2</f>
        <v/>
      </c>
      <c r="AK11" s="290">
        <f>Assumptions!$D$66*(1+Assumptions!$E$66)^2</f>
        <v/>
      </c>
      <c r="AL11" s="290">
        <f>Assumptions!$D$66*(1+Assumptions!$E$66)^2</f>
        <v/>
      </c>
      <c r="AM11" s="290">
        <f>Assumptions!$D$66*(1+Assumptions!$E$66)^2</f>
        <v/>
      </c>
      <c r="AN11" s="290">
        <f>AB11</f>
        <v/>
      </c>
      <c r="AO11" s="290">
        <f>Assumptions!$D$66*(1+Assumptions!$E$66)^3</f>
        <v/>
      </c>
      <c r="AP11" s="290">
        <f>Assumptions!$D$66*(1+Assumptions!$E$66)^3</f>
        <v/>
      </c>
      <c r="AQ11" s="290">
        <f>Assumptions!$D$66*(1+Assumptions!$E$66)^3</f>
        <v/>
      </c>
      <c r="AR11" s="290">
        <f>Assumptions!$D$66*(1+Assumptions!$E$66)^3</f>
        <v/>
      </c>
      <c r="AS11" s="290">
        <f>Assumptions!$D$66*(1+Assumptions!$E$66)^3</f>
        <v/>
      </c>
      <c r="AT11" s="290">
        <f>Assumptions!$D$66*(1+Assumptions!$E$66)^3</f>
        <v/>
      </c>
      <c r="AU11" s="290">
        <f>Assumptions!$D$66*(1+Assumptions!$E$66)^3</f>
        <v/>
      </c>
      <c r="AV11" s="290">
        <f>Assumptions!$D$66*(1+Assumptions!$E$66)^3</f>
        <v/>
      </c>
      <c r="AW11" s="290">
        <f>Assumptions!$D$66*(1+Assumptions!$E$66)^3</f>
        <v/>
      </c>
      <c r="AX11" s="290">
        <f>Assumptions!$D$66*(1+Assumptions!$E$66)^3</f>
        <v/>
      </c>
      <c r="AY11" s="290">
        <f>Assumptions!$D$66*(1+Assumptions!$E$66)^3</f>
        <v/>
      </c>
      <c r="AZ11" s="290">
        <f>Assumptions!$D$66*(1+Assumptions!$E$66)^3</f>
        <v/>
      </c>
      <c r="BA11" s="290">
        <f>AO11</f>
        <v/>
      </c>
      <c r="BB11" s="290">
        <f>Assumptions!$D$66*(1+Assumptions!$E$66)^4</f>
        <v/>
      </c>
      <c r="BC11" s="290">
        <f>Assumptions!$D$66*(1+Assumptions!$E$66)^4</f>
        <v/>
      </c>
      <c r="BD11" s="290">
        <f>Assumptions!$D$66*(1+Assumptions!$E$66)^4</f>
        <v/>
      </c>
      <c r="BE11" s="290">
        <f>Assumptions!$D$66*(1+Assumptions!$E$66)^4</f>
        <v/>
      </c>
      <c r="BF11" s="290">
        <f>Assumptions!$D$66*(1+Assumptions!$E$66)^4</f>
        <v/>
      </c>
      <c r="BG11" s="290">
        <f>Assumptions!$D$66*(1+Assumptions!$E$66)^4</f>
        <v/>
      </c>
      <c r="BH11" s="290">
        <f>Assumptions!$D$66*(1+Assumptions!$E$66)^4</f>
        <v/>
      </c>
      <c r="BI11" s="290">
        <f>Assumptions!$D$66*(1+Assumptions!$E$66)^4</f>
        <v/>
      </c>
      <c r="BJ11" s="290">
        <f>Assumptions!$D$66*(1+Assumptions!$E$66)^4</f>
        <v/>
      </c>
      <c r="BK11" s="290">
        <f>Assumptions!$D$66*(1+Assumptions!$E$66)^4</f>
        <v/>
      </c>
      <c r="BL11" s="290">
        <f>Assumptions!$D$66*(1+Assumptions!$E$66)^4</f>
        <v/>
      </c>
      <c r="BM11" s="290">
        <f>Assumptions!$D$66*(1+Assumptions!$E$66)^4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Assumptions!$D$67*(1+Assumptions!$E$67)^0</f>
        <v/>
      </c>
      <c r="C15" s="290">
        <f>Assumptions!$D$67*(1+Assumptions!$E$67)^0</f>
        <v/>
      </c>
      <c r="D15" s="290">
        <f>Assumptions!$D$67*(1+Assumptions!$E$67)^0</f>
        <v/>
      </c>
      <c r="E15" s="290">
        <f>Assumptions!$D$67*(1+Assumptions!$E$67)^0</f>
        <v/>
      </c>
      <c r="F15" s="290">
        <f>Assumptions!$D$67*(1+Assumptions!$E$67)^0</f>
        <v/>
      </c>
      <c r="G15" s="290">
        <f>Assumptions!$D$67*(1+Assumptions!$E$67)^0</f>
        <v/>
      </c>
      <c r="H15" s="290">
        <f>Assumptions!$D$67*(1+Assumptions!$E$67)^0</f>
        <v/>
      </c>
      <c r="I15" s="290">
        <f>Assumptions!$D$67*(1+Assumptions!$E$67)^0</f>
        <v/>
      </c>
      <c r="J15" s="290">
        <f>Assumptions!$D$67*(1+Assumptions!$E$67)^0</f>
        <v/>
      </c>
      <c r="K15" s="290">
        <f>Assumptions!$D$67*(1+Assumptions!$E$67)^0</f>
        <v/>
      </c>
      <c r="L15" s="290">
        <f>Assumptions!$D$67*(1+Assumptions!$E$67)^0</f>
        <v/>
      </c>
      <c r="M15" s="290">
        <f>Assumptions!$D$67*(1+Assumptions!$E$67)^0</f>
        <v/>
      </c>
      <c r="N15" s="290">
        <f>B15</f>
        <v/>
      </c>
      <c r="O15" s="290">
        <f>Assumptions!$D$67*(1+Assumptions!$E$67)^1</f>
        <v/>
      </c>
      <c r="P15" s="290">
        <f>Assumptions!$D$67*(1+Assumptions!$E$67)^1</f>
        <v/>
      </c>
      <c r="Q15" s="290">
        <f>Assumptions!$D$67*(1+Assumptions!$E$67)^1</f>
        <v/>
      </c>
      <c r="R15" s="290">
        <f>Assumptions!$D$67*(1+Assumptions!$E$67)^1</f>
        <v/>
      </c>
      <c r="S15" s="290">
        <f>Assumptions!$D$67*(1+Assumptions!$E$67)^1</f>
        <v/>
      </c>
      <c r="T15" s="290">
        <f>Assumptions!$D$67*(1+Assumptions!$E$67)^1</f>
        <v/>
      </c>
      <c r="U15" s="290">
        <f>Assumptions!$D$67*(1+Assumptions!$E$67)^1</f>
        <v/>
      </c>
      <c r="V15" s="290">
        <f>Assumptions!$D$67*(1+Assumptions!$E$67)^1</f>
        <v/>
      </c>
      <c r="W15" s="290">
        <f>Assumptions!$D$67*(1+Assumptions!$E$67)^1</f>
        <v/>
      </c>
      <c r="X15" s="290">
        <f>Assumptions!$D$67*(1+Assumptions!$E$67)^1</f>
        <v/>
      </c>
      <c r="Y15" s="290">
        <f>Assumptions!$D$67*(1+Assumptions!$E$67)^1</f>
        <v/>
      </c>
      <c r="Z15" s="290">
        <f>Assumptions!$D$67*(1+Assumptions!$E$67)^1</f>
        <v/>
      </c>
      <c r="AA15" s="290">
        <f>O15</f>
        <v/>
      </c>
      <c r="AB15" s="290">
        <f>Assumptions!$D$67*(1+Assumptions!$E$67)^2</f>
        <v/>
      </c>
      <c r="AC15" s="290">
        <f>Assumptions!$D$67*(1+Assumptions!$E$67)^2</f>
        <v/>
      </c>
      <c r="AD15" s="290">
        <f>Assumptions!$D$67*(1+Assumptions!$E$67)^2</f>
        <v/>
      </c>
      <c r="AE15" s="290">
        <f>Assumptions!$D$67*(1+Assumptions!$E$67)^2</f>
        <v/>
      </c>
      <c r="AF15" s="290">
        <f>Assumptions!$D$67*(1+Assumptions!$E$67)^2</f>
        <v/>
      </c>
      <c r="AG15" s="290">
        <f>Assumptions!$D$67*(1+Assumptions!$E$67)^2</f>
        <v/>
      </c>
      <c r="AH15" s="290">
        <f>Assumptions!$D$67*(1+Assumptions!$E$67)^2</f>
        <v/>
      </c>
      <c r="AI15" s="290">
        <f>Assumptions!$D$67*(1+Assumptions!$E$67)^2</f>
        <v/>
      </c>
      <c r="AJ15" s="290">
        <f>Assumptions!$D$67*(1+Assumptions!$E$67)^2</f>
        <v/>
      </c>
      <c r="AK15" s="290">
        <f>Assumptions!$D$67*(1+Assumptions!$E$67)^2</f>
        <v/>
      </c>
      <c r="AL15" s="290">
        <f>Assumptions!$D$67*(1+Assumptions!$E$67)^2</f>
        <v/>
      </c>
      <c r="AM15" s="290">
        <f>Assumptions!$D$67*(1+Assumptions!$E$67)^2</f>
        <v/>
      </c>
      <c r="AN15" s="290">
        <f>AB15</f>
        <v/>
      </c>
      <c r="AO15" s="290">
        <f>Assumptions!$D$67*(1+Assumptions!$E$67)^3</f>
        <v/>
      </c>
      <c r="AP15" s="290">
        <f>Assumptions!$D$67*(1+Assumptions!$E$67)^3</f>
        <v/>
      </c>
      <c r="AQ15" s="290">
        <f>Assumptions!$D$67*(1+Assumptions!$E$67)^3</f>
        <v/>
      </c>
      <c r="AR15" s="290">
        <f>Assumptions!$D$67*(1+Assumptions!$E$67)^3</f>
        <v/>
      </c>
      <c r="AS15" s="290">
        <f>Assumptions!$D$67*(1+Assumptions!$E$67)^3</f>
        <v/>
      </c>
      <c r="AT15" s="290">
        <f>Assumptions!$D$67*(1+Assumptions!$E$67)^3</f>
        <v/>
      </c>
      <c r="AU15" s="290">
        <f>Assumptions!$D$67*(1+Assumptions!$E$67)^3</f>
        <v/>
      </c>
      <c r="AV15" s="290">
        <f>Assumptions!$D$67*(1+Assumptions!$E$67)^3</f>
        <v/>
      </c>
      <c r="AW15" s="290">
        <f>Assumptions!$D$67*(1+Assumptions!$E$67)^3</f>
        <v/>
      </c>
      <c r="AX15" s="290">
        <f>Assumptions!$D$67*(1+Assumptions!$E$67)^3</f>
        <v/>
      </c>
      <c r="AY15" s="290">
        <f>Assumptions!$D$67*(1+Assumptions!$E$67)^3</f>
        <v/>
      </c>
      <c r="AZ15" s="290">
        <f>Assumptions!$D$67*(1+Assumptions!$E$67)^3</f>
        <v/>
      </c>
      <c r="BA15" s="290">
        <f>AO15</f>
        <v/>
      </c>
      <c r="BB15" s="290">
        <f>Assumptions!$D$67*(1+Assumptions!$E$67)^4</f>
        <v/>
      </c>
      <c r="BC15" s="290">
        <f>Assumptions!$D$67*(1+Assumptions!$E$67)^4</f>
        <v/>
      </c>
      <c r="BD15" s="290">
        <f>Assumptions!$D$67*(1+Assumptions!$E$67)^4</f>
        <v/>
      </c>
      <c r="BE15" s="290">
        <f>Assumptions!$D$67*(1+Assumptions!$E$67)^4</f>
        <v/>
      </c>
      <c r="BF15" s="290">
        <f>Assumptions!$D$67*(1+Assumptions!$E$67)^4</f>
        <v/>
      </c>
      <c r="BG15" s="290">
        <f>Assumptions!$D$67*(1+Assumptions!$E$67)^4</f>
        <v/>
      </c>
      <c r="BH15" s="290">
        <f>Assumptions!$D$67*(1+Assumptions!$E$67)^4</f>
        <v/>
      </c>
      <c r="BI15" s="290">
        <f>Assumptions!$D$67*(1+Assumptions!$E$67)^4</f>
        <v/>
      </c>
      <c r="BJ15" s="290">
        <f>Assumptions!$D$67*(1+Assumptions!$E$67)^4</f>
        <v/>
      </c>
      <c r="BK15" s="290">
        <f>Assumptions!$D$67*(1+Assumptions!$E$67)^4</f>
        <v/>
      </c>
      <c r="BL15" s="290">
        <f>Assumptions!$D$67*(1+Assumptions!$E$67)^4</f>
        <v/>
      </c>
      <c r="BM15" s="290">
        <f>Assumptions!$D$67*(1+Assumptions!$E$67)^4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Assumptions!$D$68*(1+Assumptions!$E$68)^0</f>
        <v/>
      </c>
      <c r="C19" s="290">
        <f>Assumptions!$D$68*(1+Assumptions!$E$68)^0</f>
        <v/>
      </c>
      <c r="D19" s="290">
        <f>Assumptions!$D$68*(1+Assumptions!$E$68)^0</f>
        <v/>
      </c>
      <c r="E19" s="290">
        <f>Assumptions!$D$68*(1+Assumptions!$E$68)^0</f>
        <v/>
      </c>
      <c r="F19" s="290">
        <f>Assumptions!$D$68*(1+Assumptions!$E$68)^0</f>
        <v/>
      </c>
      <c r="G19" s="290">
        <f>Assumptions!$D$68*(1+Assumptions!$E$68)^0</f>
        <v/>
      </c>
      <c r="H19" s="290">
        <f>Assumptions!$D$68*(1+Assumptions!$E$68)^0</f>
        <v/>
      </c>
      <c r="I19" s="290">
        <f>Assumptions!$D$68*(1+Assumptions!$E$68)^0</f>
        <v/>
      </c>
      <c r="J19" s="290">
        <f>Assumptions!$D$68*(1+Assumptions!$E$68)^0</f>
        <v/>
      </c>
      <c r="K19" s="290">
        <f>Assumptions!$D$68*(1+Assumptions!$E$68)^0</f>
        <v/>
      </c>
      <c r="L19" s="290">
        <f>Assumptions!$D$68*(1+Assumptions!$E$68)^0</f>
        <v/>
      </c>
      <c r="M19" s="290">
        <f>Assumptions!$D$68*(1+Assumptions!$E$68)^0</f>
        <v/>
      </c>
      <c r="N19" s="290">
        <f>B19</f>
        <v/>
      </c>
      <c r="O19" s="290">
        <f>Assumptions!$D$68*(1+Assumptions!$E$68)^1</f>
        <v/>
      </c>
      <c r="P19" s="290">
        <f>Assumptions!$D$68*(1+Assumptions!$E$68)^1</f>
        <v/>
      </c>
      <c r="Q19" s="290">
        <f>Assumptions!$D$68*(1+Assumptions!$E$68)^1</f>
        <v/>
      </c>
      <c r="R19" s="290">
        <f>Assumptions!$D$68*(1+Assumptions!$E$68)^1</f>
        <v/>
      </c>
      <c r="S19" s="290">
        <f>Assumptions!$D$68*(1+Assumptions!$E$68)^1</f>
        <v/>
      </c>
      <c r="T19" s="290">
        <f>Assumptions!$D$68*(1+Assumptions!$E$68)^1</f>
        <v/>
      </c>
      <c r="U19" s="290">
        <f>Assumptions!$D$68*(1+Assumptions!$E$68)^1</f>
        <v/>
      </c>
      <c r="V19" s="290">
        <f>Assumptions!$D$68*(1+Assumptions!$E$68)^1</f>
        <v/>
      </c>
      <c r="W19" s="290">
        <f>Assumptions!$D$68*(1+Assumptions!$E$68)^1</f>
        <v/>
      </c>
      <c r="X19" s="290">
        <f>Assumptions!$D$68*(1+Assumptions!$E$68)^1</f>
        <v/>
      </c>
      <c r="Y19" s="290">
        <f>Assumptions!$D$68*(1+Assumptions!$E$68)^1</f>
        <v/>
      </c>
      <c r="Z19" s="290">
        <f>Assumptions!$D$68*(1+Assumptions!$E$68)^1</f>
        <v/>
      </c>
      <c r="AA19" s="290">
        <f>O19</f>
        <v/>
      </c>
      <c r="AB19" s="290">
        <f>Assumptions!$D$68*(1+Assumptions!$E$68)^2</f>
        <v/>
      </c>
      <c r="AC19" s="290">
        <f>Assumptions!$D$68*(1+Assumptions!$E$68)^2</f>
        <v/>
      </c>
      <c r="AD19" s="290">
        <f>Assumptions!$D$68*(1+Assumptions!$E$68)^2</f>
        <v/>
      </c>
      <c r="AE19" s="290">
        <f>Assumptions!$D$68*(1+Assumptions!$E$68)^2</f>
        <v/>
      </c>
      <c r="AF19" s="290">
        <f>Assumptions!$D$68*(1+Assumptions!$E$68)^2</f>
        <v/>
      </c>
      <c r="AG19" s="290">
        <f>Assumptions!$D$68*(1+Assumptions!$E$68)^2</f>
        <v/>
      </c>
      <c r="AH19" s="290">
        <f>Assumptions!$D$68*(1+Assumptions!$E$68)^2</f>
        <v/>
      </c>
      <c r="AI19" s="290">
        <f>Assumptions!$D$68*(1+Assumptions!$E$68)^2</f>
        <v/>
      </c>
      <c r="AJ19" s="290">
        <f>Assumptions!$D$68*(1+Assumptions!$E$68)^2</f>
        <v/>
      </c>
      <c r="AK19" s="290">
        <f>Assumptions!$D$68*(1+Assumptions!$E$68)^2</f>
        <v/>
      </c>
      <c r="AL19" s="290">
        <f>Assumptions!$D$68*(1+Assumptions!$E$68)^2</f>
        <v/>
      </c>
      <c r="AM19" s="290">
        <f>Assumptions!$D$68*(1+Assumptions!$E$68)^2</f>
        <v/>
      </c>
      <c r="AN19" s="290">
        <f>AB19</f>
        <v/>
      </c>
      <c r="AO19" s="290">
        <f>Assumptions!$D$68*(1+Assumptions!$E$68)^3</f>
        <v/>
      </c>
      <c r="AP19" s="290">
        <f>Assumptions!$D$68*(1+Assumptions!$E$68)^3</f>
        <v/>
      </c>
      <c r="AQ19" s="290">
        <f>Assumptions!$D$68*(1+Assumptions!$E$68)^3</f>
        <v/>
      </c>
      <c r="AR19" s="290">
        <f>Assumptions!$D$68*(1+Assumptions!$E$68)^3</f>
        <v/>
      </c>
      <c r="AS19" s="290">
        <f>Assumptions!$D$68*(1+Assumptions!$E$68)^3</f>
        <v/>
      </c>
      <c r="AT19" s="290">
        <f>Assumptions!$D$68*(1+Assumptions!$E$68)^3</f>
        <v/>
      </c>
      <c r="AU19" s="290">
        <f>Assumptions!$D$68*(1+Assumptions!$E$68)^3</f>
        <v/>
      </c>
      <c r="AV19" s="290">
        <f>Assumptions!$D$68*(1+Assumptions!$E$68)^3</f>
        <v/>
      </c>
      <c r="AW19" s="290">
        <f>Assumptions!$D$68*(1+Assumptions!$E$68)^3</f>
        <v/>
      </c>
      <c r="AX19" s="290">
        <f>Assumptions!$D$68*(1+Assumptions!$E$68)^3</f>
        <v/>
      </c>
      <c r="AY19" s="290">
        <f>Assumptions!$D$68*(1+Assumptions!$E$68)^3</f>
        <v/>
      </c>
      <c r="AZ19" s="290">
        <f>Assumptions!$D$68*(1+Assumptions!$E$68)^3</f>
        <v/>
      </c>
      <c r="BA19" s="290">
        <f>AO19</f>
        <v/>
      </c>
      <c r="BB19" s="290">
        <f>Assumptions!$D$68*(1+Assumptions!$E$68)^4</f>
        <v/>
      </c>
      <c r="BC19" s="290">
        <f>Assumptions!$D$68*(1+Assumptions!$E$68)^4</f>
        <v/>
      </c>
      <c r="BD19" s="290">
        <f>Assumptions!$D$68*(1+Assumptions!$E$68)^4</f>
        <v/>
      </c>
      <c r="BE19" s="290">
        <f>Assumptions!$D$68*(1+Assumptions!$E$68)^4</f>
        <v/>
      </c>
      <c r="BF19" s="290">
        <f>Assumptions!$D$68*(1+Assumptions!$E$68)^4</f>
        <v/>
      </c>
      <c r="BG19" s="290">
        <f>Assumptions!$D$68*(1+Assumptions!$E$68)^4</f>
        <v/>
      </c>
      <c r="BH19" s="290">
        <f>Assumptions!$D$68*(1+Assumptions!$E$68)^4</f>
        <v/>
      </c>
      <c r="BI19" s="290">
        <f>Assumptions!$D$68*(1+Assumptions!$E$68)^4</f>
        <v/>
      </c>
      <c r="BJ19" s="290">
        <f>Assumptions!$D$68*(1+Assumptions!$E$68)^4</f>
        <v/>
      </c>
      <c r="BK19" s="290">
        <f>Assumptions!$D$68*(1+Assumptions!$E$68)^4</f>
        <v/>
      </c>
      <c r="BL19" s="290">
        <f>Assumptions!$D$68*(1+Assumptions!$E$68)^4</f>
        <v/>
      </c>
      <c r="BM19" s="290">
        <f>Assumptions!$D$68*(1+Assumptions!$E$68)^4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Assumptions!$D$69*(1+Assumptions!$E$69)^0</f>
        <v/>
      </c>
      <c r="C23" s="290">
        <f>Assumptions!$D$69*(1+Assumptions!$E$69)^0</f>
        <v/>
      </c>
      <c r="D23" s="290">
        <f>Assumptions!$D$69*(1+Assumptions!$E$69)^0</f>
        <v/>
      </c>
      <c r="E23" s="290">
        <f>Assumptions!$D$69*(1+Assumptions!$E$69)^0</f>
        <v/>
      </c>
      <c r="F23" s="290">
        <f>Assumptions!$D$69*(1+Assumptions!$E$69)^0</f>
        <v/>
      </c>
      <c r="G23" s="290">
        <f>Assumptions!$D$69*(1+Assumptions!$E$69)^0</f>
        <v/>
      </c>
      <c r="H23" s="290">
        <f>Assumptions!$D$69*(1+Assumptions!$E$69)^0</f>
        <v/>
      </c>
      <c r="I23" s="290">
        <f>Assumptions!$D$69*(1+Assumptions!$E$69)^0</f>
        <v/>
      </c>
      <c r="J23" s="290">
        <f>Assumptions!$D$69*(1+Assumptions!$E$69)^0</f>
        <v/>
      </c>
      <c r="K23" s="290">
        <f>Assumptions!$D$69*(1+Assumptions!$E$69)^0</f>
        <v/>
      </c>
      <c r="L23" s="290">
        <f>Assumptions!$D$69*(1+Assumptions!$E$69)^0</f>
        <v/>
      </c>
      <c r="M23" s="290">
        <f>Assumptions!$D$69*(1+Assumptions!$E$69)^0</f>
        <v/>
      </c>
      <c r="N23" s="290">
        <f>B23</f>
        <v/>
      </c>
      <c r="O23" s="290">
        <f>Assumptions!$D$69*(1+Assumptions!$E$69)^1</f>
        <v/>
      </c>
      <c r="P23" s="290">
        <f>Assumptions!$D$69*(1+Assumptions!$E$69)^1</f>
        <v/>
      </c>
      <c r="Q23" s="290">
        <f>Assumptions!$D$69*(1+Assumptions!$E$69)^1</f>
        <v/>
      </c>
      <c r="R23" s="290">
        <f>Assumptions!$D$69*(1+Assumptions!$E$69)^1</f>
        <v/>
      </c>
      <c r="S23" s="290">
        <f>Assumptions!$D$69*(1+Assumptions!$E$69)^1</f>
        <v/>
      </c>
      <c r="T23" s="290">
        <f>Assumptions!$D$69*(1+Assumptions!$E$69)^1</f>
        <v/>
      </c>
      <c r="U23" s="290">
        <f>Assumptions!$D$69*(1+Assumptions!$E$69)^1</f>
        <v/>
      </c>
      <c r="V23" s="290">
        <f>Assumptions!$D$69*(1+Assumptions!$E$69)^1</f>
        <v/>
      </c>
      <c r="W23" s="290">
        <f>Assumptions!$D$69*(1+Assumptions!$E$69)^1</f>
        <v/>
      </c>
      <c r="X23" s="290">
        <f>Assumptions!$D$69*(1+Assumptions!$E$69)^1</f>
        <v/>
      </c>
      <c r="Y23" s="290">
        <f>Assumptions!$D$69*(1+Assumptions!$E$69)^1</f>
        <v/>
      </c>
      <c r="Z23" s="290">
        <f>Assumptions!$D$69*(1+Assumptions!$E$69)^1</f>
        <v/>
      </c>
      <c r="AA23" s="290">
        <f>O23</f>
        <v/>
      </c>
      <c r="AB23" s="290">
        <f>Assumptions!$D$69*(1+Assumptions!$E$69)^2</f>
        <v/>
      </c>
      <c r="AC23" s="290">
        <f>Assumptions!$D$69*(1+Assumptions!$E$69)^2</f>
        <v/>
      </c>
      <c r="AD23" s="290">
        <f>Assumptions!$D$69*(1+Assumptions!$E$69)^2</f>
        <v/>
      </c>
      <c r="AE23" s="290">
        <f>Assumptions!$D$69*(1+Assumptions!$E$69)^2</f>
        <v/>
      </c>
      <c r="AF23" s="290">
        <f>Assumptions!$D$69*(1+Assumptions!$E$69)^2</f>
        <v/>
      </c>
      <c r="AG23" s="290">
        <f>Assumptions!$D$69*(1+Assumptions!$E$69)^2</f>
        <v/>
      </c>
      <c r="AH23" s="290">
        <f>Assumptions!$D$69*(1+Assumptions!$E$69)^2</f>
        <v/>
      </c>
      <c r="AI23" s="290">
        <f>Assumptions!$D$69*(1+Assumptions!$E$69)^2</f>
        <v/>
      </c>
      <c r="AJ23" s="290">
        <f>Assumptions!$D$69*(1+Assumptions!$E$69)^2</f>
        <v/>
      </c>
      <c r="AK23" s="290">
        <f>Assumptions!$D$69*(1+Assumptions!$E$69)^2</f>
        <v/>
      </c>
      <c r="AL23" s="290">
        <f>Assumptions!$D$69*(1+Assumptions!$E$69)^2</f>
        <v/>
      </c>
      <c r="AM23" s="290">
        <f>Assumptions!$D$69*(1+Assumptions!$E$69)^2</f>
        <v/>
      </c>
      <c r="AN23" s="290">
        <f>AB23</f>
        <v/>
      </c>
      <c r="AO23" s="290">
        <f>Assumptions!$D$69*(1+Assumptions!$E$69)^3</f>
        <v/>
      </c>
      <c r="AP23" s="290">
        <f>Assumptions!$D$69*(1+Assumptions!$E$69)^3</f>
        <v/>
      </c>
      <c r="AQ23" s="290">
        <f>Assumptions!$D$69*(1+Assumptions!$E$69)^3</f>
        <v/>
      </c>
      <c r="AR23" s="290">
        <f>Assumptions!$D$69*(1+Assumptions!$E$69)^3</f>
        <v/>
      </c>
      <c r="AS23" s="290">
        <f>Assumptions!$D$69*(1+Assumptions!$E$69)^3</f>
        <v/>
      </c>
      <c r="AT23" s="290">
        <f>Assumptions!$D$69*(1+Assumptions!$E$69)^3</f>
        <v/>
      </c>
      <c r="AU23" s="290">
        <f>Assumptions!$D$69*(1+Assumptions!$E$69)^3</f>
        <v/>
      </c>
      <c r="AV23" s="290">
        <f>Assumptions!$D$69*(1+Assumptions!$E$69)^3</f>
        <v/>
      </c>
      <c r="AW23" s="290">
        <f>Assumptions!$D$69*(1+Assumptions!$E$69)^3</f>
        <v/>
      </c>
      <c r="AX23" s="290">
        <f>Assumptions!$D$69*(1+Assumptions!$E$69)^3</f>
        <v/>
      </c>
      <c r="AY23" s="290">
        <f>Assumptions!$D$69*(1+Assumptions!$E$69)^3</f>
        <v/>
      </c>
      <c r="AZ23" s="290">
        <f>Assumptions!$D$69*(1+Assumptions!$E$69)^3</f>
        <v/>
      </c>
      <c r="BA23" s="290">
        <f>AO23</f>
        <v/>
      </c>
      <c r="BB23" s="290">
        <f>Assumptions!$D$69*(1+Assumptions!$E$69)^4</f>
        <v/>
      </c>
      <c r="BC23" s="290">
        <f>Assumptions!$D$69*(1+Assumptions!$E$69)^4</f>
        <v/>
      </c>
      <c r="BD23" s="290">
        <f>Assumptions!$D$69*(1+Assumptions!$E$69)^4</f>
        <v/>
      </c>
      <c r="BE23" s="290">
        <f>Assumptions!$D$69*(1+Assumptions!$E$69)^4</f>
        <v/>
      </c>
      <c r="BF23" s="290">
        <f>Assumptions!$D$69*(1+Assumptions!$E$69)^4</f>
        <v/>
      </c>
      <c r="BG23" s="290">
        <f>Assumptions!$D$69*(1+Assumptions!$E$69)^4</f>
        <v/>
      </c>
      <c r="BH23" s="290">
        <f>Assumptions!$D$69*(1+Assumptions!$E$69)^4</f>
        <v/>
      </c>
      <c r="BI23" s="290">
        <f>Assumptions!$D$69*(1+Assumptions!$E$69)^4</f>
        <v/>
      </c>
      <c r="BJ23" s="290">
        <f>Assumptions!$D$69*(1+Assumptions!$E$69)^4</f>
        <v/>
      </c>
      <c r="BK23" s="290">
        <f>Assumptions!$D$69*(1+Assumptions!$E$69)^4</f>
        <v/>
      </c>
      <c r="BL23" s="290">
        <f>Assumptions!$D$69*(1+Assumptions!$E$69)^4</f>
        <v/>
      </c>
      <c r="BM23" s="290">
        <f>Assumptions!$D$69*(1+Assumptions!$E$69)^4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Form_V_MPBF!C11*Assumptions!$C$13/12*IF(Sales!$N$26=0,1,12*Sales!B$26/Sales!$N$26)</f>
        <v/>
      </c>
      <c r="C15" s="140">
        <f>Form_V_MPBF!C11*Assumptions!$C$13/12*IF(Sales!$N$26=0,1,12*Sales!C$26/Sales!$N$26)</f>
        <v/>
      </c>
      <c r="D15" s="140">
        <f>Form_V_MPBF!C11*Assumptions!$C$13/12*IF(Sales!$N$26=0,1,12*Sales!D$26/Sales!$N$26)</f>
        <v/>
      </c>
      <c r="E15" s="140">
        <f>Form_V_MPBF!C11*Assumptions!$C$13/12*IF(Sales!$N$26=0,1,12*Sales!E$26/Sales!$N$26)</f>
        <v/>
      </c>
      <c r="F15" s="140">
        <f>Form_V_MPBF!C11*Assumptions!$C$13/12*IF(Sales!$N$26=0,1,12*Sales!F$26/Sales!$N$26)</f>
        <v/>
      </c>
      <c r="G15" s="140">
        <f>Form_V_MPBF!C11*Assumptions!$C$13/12*IF(Sales!$N$26=0,1,12*Sales!G$26/Sales!$N$26)</f>
        <v/>
      </c>
      <c r="H15" s="140">
        <f>Form_V_MPBF!C11*Assumptions!$C$13/12*IF(Sales!$N$26=0,1,12*Sales!H$26/Sales!$N$26)</f>
        <v/>
      </c>
      <c r="I15" s="140">
        <f>Form_V_MPBF!C11*Assumptions!$C$13/12*IF(Sales!$N$26=0,1,12*Sales!I$26/Sales!$N$26)</f>
        <v/>
      </c>
      <c r="J15" s="140">
        <f>Form_V_MPBF!C11*Assumptions!$C$13/12*IF(Sales!$N$26=0,1,12*Sales!J$26/Sales!$N$26)</f>
        <v/>
      </c>
      <c r="K15" s="140">
        <f>Form_V_MPBF!C11*Assumptions!$C$13/12*IF(Sales!$N$26=0,1,12*Sales!K$26/Sales!$N$26)</f>
        <v/>
      </c>
      <c r="L15" s="140">
        <f>Form_V_MPBF!C11*Assumptions!$C$13/12*IF(Sales!$N$26=0,1,12*Sales!L$26/Sales!$N$26)</f>
        <v/>
      </c>
      <c r="M15" s="140">
        <f>Form_V_MPBF!C11*Assumptions!$C$13/12*IF(Sales!$N$26=0,1,12*Sales!M$26/Sales!$N$26)</f>
        <v/>
      </c>
      <c r="N15" s="139">
        <f>SUM(B15:M15)</f>
        <v/>
      </c>
      <c r="O15" s="140">
        <f>Form_V_MPBF!D11*Assumptions!$C$13/12*IF(Sales!$AA$26=0,1,12*Sales!O$26/Sales!$AA$26)</f>
        <v/>
      </c>
      <c r="P15" s="140">
        <f>Form_V_MPBF!D11*Assumptions!$C$13/12*IF(Sales!$AA$26=0,1,12*Sales!P$26/Sales!$AA$26)</f>
        <v/>
      </c>
      <c r="Q15" s="140">
        <f>Form_V_MPBF!D11*Assumptions!$C$13/12*IF(Sales!$AA$26=0,1,12*Sales!Q$26/Sales!$AA$26)</f>
        <v/>
      </c>
      <c r="R15" s="140">
        <f>Form_V_MPBF!D11*Assumptions!$C$13/12*IF(Sales!$AA$26=0,1,12*Sales!R$26/Sales!$AA$26)</f>
        <v/>
      </c>
      <c r="S15" s="140">
        <f>Form_V_MPBF!D11*Assumptions!$C$13/12*IF(Sales!$AA$26=0,1,12*Sales!S$26/Sales!$AA$26)</f>
        <v/>
      </c>
      <c r="T15" s="140">
        <f>Form_V_MPBF!D11*Assumptions!$C$13/12*IF(Sales!$AA$26=0,1,12*Sales!T$26/Sales!$AA$26)</f>
        <v/>
      </c>
      <c r="U15" s="140">
        <f>Form_V_MPBF!D11*Assumptions!$C$13/12*IF(Sales!$AA$26=0,1,12*Sales!U$26/Sales!$AA$26)</f>
        <v/>
      </c>
      <c r="V15" s="140">
        <f>Form_V_MPBF!D11*Assumptions!$C$13/12*IF(Sales!$AA$26=0,1,12*Sales!V$26/Sales!$AA$26)</f>
        <v/>
      </c>
      <c r="W15" s="140">
        <f>Form_V_MPBF!D11*Assumptions!$C$13/12*IF(Sales!$AA$26=0,1,12*Sales!W$26/Sales!$AA$26)</f>
        <v/>
      </c>
      <c r="X15" s="140">
        <f>Form_V_MPBF!D11*Assumptions!$C$13/12*IF(Sales!$AA$26=0,1,12*Sales!X$26/Sales!$AA$26)</f>
        <v/>
      </c>
      <c r="Y15" s="140">
        <f>Form_V_MPBF!D11*Assumptions!$C$13/12*IF(Sales!$AA$26=0,1,12*Sales!Y$26/Sales!$AA$26)</f>
        <v/>
      </c>
      <c r="Z15" s="140">
        <f>Form_V_MPBF!D11*Assumptions!$C$13/12*IF(Sales!$AA$26=0,1,12*Sales!Z$26/Sales!$AA$26)</f>
        <v/>
      </c>
      <c r="AA15" s="139">
        <f>SUM(O15:Z15)</f>
        <v/>
      </c>
      <c r="AB15" s="140">
        <f>Form_V_MPBF!E11*Assumptions!$C$13/12*IF(Sales!$AN$26=0,1,12*Sales!AB$26/Sales!$AN$26)</f>
        <v/>
      </c>
      <c r="AC15" s="140">
        <f>Form_V_MPBF!E11*Assumptions!$C$13/12*IF(Sales!$AN$26=0,1,12*Sales!AC$26/Sales!$AN$26)</f>
        <v/>
      </c>
      <c r="AD15" s="140">
        <f>Form_V_MPBF!E11*Assumptions!$C$13/12*IF(Sales!$AN$26=0,1,12*Sales!AD$26/Sales!$AN$26)</f>
        <v/>
      </c>
      <c r="AE15" s="140">
        <f>Form_V_MPBF!E11*Assumptions!$C$13/12*IF(Sales!$AN$26=0,1,12*Sales!AE$26/Sales!$AN$26)</f>
        <v/>
      </c>
      <c r="AF15" s="140">
        <f>Form_V_MPBF!E11*Assumptions!$C$13/12*IF(Sales!$AN$26=0,1,12*Sales!AF$26/Sales!$AN$26)</f>
        <v/>
      </c>
      <c r="AG15" s="140">
        <f>Form_V_MPBF!E11*Assumptions!$C$13/12*IF(Sales!$AN$26=0,1,12*Sales!AG$26/Sales!$AN$26)</f>
        <v/>
      </c>
      <c r="AH15" s="140">
        <f>Form_V_MPBF!E11*Assumptions!$C$13/12*IF(Sales!$AN$26=0,1,12*Sales!AH$26/Sales!$AN$26)</f>
        <v/>
      </c>
      <c r="AI15" s="140">
        <f>Form_V_MPBF!E11*Assumptions!$C$13/12*IF(Sales!$AN$26=0,1,12*Sales!AI$26/Sales!$AN$26)</f>
        <v/>
      </c>
      <c r="AJ15" s="140">
        <f>Form_V_MPBF!E11*Assumptions!$C$13/12*IF(Sales!$AN$26=0,1,12*Sales!AJ$26/Sales!$AN$26)</f>
        <v/>
      </c>
      <c r="AK15" s="140">
        <f>Form_V_MPBF!E11*Assumptions!$C$13/12*IF(Sales!$AN$26=0,1,12*Sales!AK$26/Sales!$AN$26)</f>
        <v/>
      </c>
      <c r="AL15" s="140">
        <f>Form_V_MPBF!E11*Assumptions!$C$13/12*IF(Sales!$AN$26=0,1,12*Sales!AL$26/Sales!$AN$26)</f>
        <v/>
      </c>
      <c r="AM15" s="140">
        <f>Form_V_MPBF!E11*Assumptions!$C$13/12*IF(Sales!$AN$26=0,1,12*Sales!AM$26/Sales!$AN$26)</f>
        <v/>
      </c>
      <c r="AN15" s="139">
        <f>SUM(AB15:AM15)</f>
        <v/>
      </c>
      <c r="AO15" s="140">
        <f>Form_V_MPBF!F11*Assumptions!$C$13/12*IF(Sales!$BA$26=0,1,12*Sales!AO$26/Sales!$BA$26)</f>
        <v/>
      </c>
      <c r="AP15" s="140">
        <f>Form_V_MPBF!F11*Assumptions!$C$13/12*IF(Sales!$BA$26=0,1,12*Sales!AP$26/Sales!$BA$26)</f>
        <v/>
      </c>
      <c r="AQ15" s="140">
        <f>Form_V_MPBF!F11*Assumptions!$C$13/12*IF(Sales!$BA$26=0,1,12*Sales!AQ$26/Sales!$BA$26)</f>
        <v/>
      </c>
      <c r="AR15" s="140">
        <f>Form_V_MPBF!F11*Assumptions!$C$13/12*IF(Sales!$BA$26=0,1,12*Sales!AR$26/Sales!$BA$26)</f>
        <v/>
      </c>
      <c r="AS15" s="140">
        <f>Form_V_MPBF!F11*Assumptions!$C$13/12*IF(Sales!$BA$26=0,1,12*Sales!AS$26/Sales!$BA$26)</f>
        <v/>
      </c>
      <c r="AT15" s="140">
        <f>Form_V_MPBF!F11*Assumptions!$C$13/12*IF(Sales!$BA$26=0,1,12*Sales!AT$26/Sales!$BA$26)</f>
        <v/>
      </c>
      <c r="AU15" s="140">
        <f>Form_V_MPBF!F11*Assumptions!$C$13/12*IF(Sales!$BA$26=0,1,12*Sales!AU$26/Sales!$BA$26)</f>
        <v/>
      </c>
      <c r="AV15" s="140">
        <f>Form_V_MPBF!F11*Assumptions!$C$13/12*IF(Sales!$BA$26=0,1,12*Sales!AV$26/Sales!$BA$26)</f>
        <v/>
      </c>
      <c r="AW15" s="140">
        <f>Form_V_MPBF!F11*Assumptions!$C$13/12*IF(Sales!$BA$26=0,1,12*Sales!AW$26/Sales!$BA$26)</f>
        <v/>
      </c>
      <c r="AX15" s="140">
        <f>Form_V_MPBF!F11*Assumptions!$C$13/12*IF(Sales!$BA$26=0,1,12*Sales!AX$26/Sales!$BA$26)</f>
        <v/>
      </c>
      <c r="AY15" s="140">
        <f>Form_V_MPBF!F11*Assumptions!$C$13/12*IF(Sales!$BA$26=0,1,12*Sales!AY$26/Sales!$BA$26)</f>
        <v/>
      </c>
      <c r="AZ15" s="140">
        <f>Form_V_MPBF!F11*Assumptions!$C$13/12*IF(Sales!$BA$26=0,1,12*Sales!AZ$26/Sales!$BA$26)</f>
        <v/>
      </c>
      <c r="BA15" s="139">
        <f>SUM(AO15:AZ15)</f>
        <v/>
      </c>
      <c r="BB15" s="140">
        <f>Form_V_MPBF!G11*Assumptions!$C$13/12*IF(Sales!$BN$26=0,1,12*Sales!BB$26/Sales!$BN$26)</f>
        <v/>
      </c>
      <c r="BC15" s="140">
        <f>Form_V_MPBF!G11*Assumptions!$C$13/12*IF(Sales!$BN$26=0,1,12*Sales!BC$26/Sales!$BN$26)</f>
        <v/>
      </c>
      <c r="BD15" s="140">
        <f>Form_V_MPBF!G11*Assumptions!$C$13/12*IF(Sales!$BN$26=0,1,12*Sales!BD$26/Sales!$BN$26)</f>
        <v/>
      </c>
      <c r="BE15" s="140">
        <f>Form_V_MPBF!G11*Assumptions!$C$13/12*IF(Sales!$BN$26=0,1,12*Sales!BE$26/Sales!$BN$26)</f>
        <v/>
      </c>
      <c r="BF15" s="140">
        <f>Form_V_MPBF!G11*Assumptions!$C$13/12*IF(Sales!$BN$26=0,1,12*Sales!BF$26/Sales!$BN$26)</f>
        <v/>
      </c>
      <c r="BG15" s="140">
        <f>Form_V_MPBF!G11*Assumptions!$C$13/12*IF(Sales!$BN$26=0,1,12*Sales!BG$26/Sales!$BN$26)</f>
        <v/>
      </c>
      <c r="BH15" s="140">
        <f>Form_V_MPBF!G11*Assumptions!$C$13/12*IF(Sales!$BN$26=0,1,12*Sales!BH$26/Sales!$BN$26)</f>
        <v/>
      </c>
      <c r="BI15" s="140">
        <f>Form_V_MPBF!G11*Assumptions!$C$13/12*IF(Sales!$BN$26=0,1,12*Sales!BI$26/Sales!$BN$26)</f>
        <v/>
      </c>
      <c r="BJ15" s="140">
        <f>Form_V_MPBF!G11*Assumptions!$C$13/12*IF(Sales!$BN$26=0,1,12*Sales!BJ$26/Sales!$BN$26)</f>
        <v/>
      </c>
      <c r="BK15" s="140">
        <f>Form_V_MPBF!G11*Assumptions!$C$13/12*IF(Sales!$BN$26=0,1,12*Sales!BK$26/Sales!$BN$26)</f>
        <v/>
      </c>
      <c r="BL15" s="140">
        <f>Form_V_MPBF!G11*Assumptions!$C$13/12*IF(Sales!$BN$26=0,1,12*Sales!BL$26/Sales!$BN$26)</f>
        <v/>
      </c>
      <c r="BM15" s="140">
        <f>Form_V_MPBF!G11*Assumptions!$C$13/12*IF(Sales!$BN$26=0,1,12*Sales!BM$26/Sales!$BN$26)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2026-09-21T06:57:03Z</dcterms:modified>
  <cp:revision>1</cp:revision>
</cp:coreProperties>
</file>