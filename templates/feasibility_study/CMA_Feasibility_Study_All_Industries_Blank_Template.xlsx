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Overview" sheetId="2" state="visible" r:id="rId4"/>
    <sheet name="Index" sheetId="3" state="visible" r:id="rId5"/>
    <sheet name="Assumptions" sheetId="4" state="visible" r:id="rId6"/>
    <sheet name="Project Cost" sheetId="5" state="visible" r:id="rId7"/>
    <sheet name="Depreciation" sheetId="6" state="visible" r:id="rId8"/>
    <sheet name="Term Loan" sheetId="7" state="visible" r:id="rId9"/>
    <sheet name="Production &amp; Sales" sheetId="8" state="visible" r:id="rId10"/>
    <sheet name="Profitability (Monthly)" sheetId="9" state="visible" r:id="rId11"/>
    <sheet name="Profitability (Annual)" sheetId="10" state="visible" r:id="rId12"/>
    <sheet name="Working Capital" sheetId="11" state="visible" r:id="rId13"/>
    <sheet name="Balance Sheet" sheetId="12" state="visible" r:id="rId14"/>
    <sheet name="Cash Flow" sheetId="13" state="visible" r:id="rId15"/>
    <sheet name="Ratios &amp; DSCR" sheetId="14" state="visible" r:id="rId16"/>
    <sheet name="Break-even &amp; Sensitivity" sheetId="15" state="visible" r:id="rId17"/>
    <sheet name="Industry Labels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<sst xmlns="http://schemas.openxmlformats.org/spreadsheetml/2006/main" count="1116" uniqueCount="791">
  <si>
    <t xml:space="preserve">CREDIT MONITORING ARRANGEMENT (CMA)
&amp; FINANCIAL FEASIBILITY REPORT</t>
  </si>
  <si>
    <t xml:space="preserve">PROJECT SNAPSHOT</t>
  </si>
  <si>
    <t xml:space="preserve">Project</t>
  </si>
  <si>
    <t xml:space="preserve">Project description (to be entered)</t>
  </si>
  <si>
    <t xml:space="preserve">Installed Capacity</t>
  </si>
  <si>
    <t xml:space="preserve">Location</t>
  </si>
  <si>
    <t xml:space="preserve">Location (to be entered)</t>
  </si>
  <si>
    <t xml:space="preserve">Constitution</t>
  </si>
  <si>
    <t xml:space="preserve">Constitution (e.g. Private Limited Company / LLP / Proprietorship)</t>
  </si>
  <si>
    <t xml:space="preserve">Total Project Cost</t>
  </si>
  <si>
    <t xml:space="preserve">Means of Finance</t>
  </si>
  <si>
    <t xml:space="preserve">Projection Horizon</t>
  </si>
  <si>
    <t xml:space="preserve">5 Years × 12 Months = 60 Months (Monthly &amp; Annual)</t>
  </si>
  <si>
    <t xml:space="preserve">Projected Start</t>
  </si>
  <si>
    <t xml:space="preserve">Report Basis</t>
  </si>
  <si>
    <t xml:space="preserve">All figures in ₹ Lakh unless stated. BLANK TEMPLATE — enter inputs on the 'Assumptions' &amp; 'Project Cost' sheets; all statements populate automatically.</t>
  </si>
  <si>
    <t xml:space="preserve">Prepared on</t>
  </si>
  <si>
    <t xml:space="preserve">DISCLAIMER:  This projection is prepared for feasibility / bank appraisal (CMA) purposes. It is based on market data referenced in the 'Assumptions' sheet (live source links provided) and on stated assumptions which the promoter/appraiser must validate. Actual results will vary with market, utilisation and execution. Figures are indicative and do not constitute investment or lending advice.</t>
  </si>
  <si>
    <t xml:space="preserve">OVERVIEW  —  CMA FEASIBILITY MODEL (ALL INDUSTRIES)</t>
  </si>
  <si>
    <t xml:space="preserve">Industry-neutral greenfield project appraised in the Indian CMA / bank-appraisal format. Documentation only — links live to the model and changes nothing downstream.</t>
  </si>
  <si>
    <t xml:space="preserve">EXECUTIVE SUMMARY</t>
  </si>
  <si>
    <t xml:space="preserve">The project is a proposed new business unit, underwritten over a five-year horizon (60 months, all figures in ₹ Lakh). Value is created by commissioning the facility, equipment and support assets, then ramping capacity utilisation from a conservative Year-1 launch ramp to a sustainable ceiling by Year 5: installed capacity (Assumptions!B5) × the monthly utilisation ramp drives volume, which at an escalating realisation net of GST (Assumptions!B10) builds net sales, while direct cost (Assumptions!B11), utilities, consumables, labour and fixed overheads — each escalated year-on-year — convert that revenue into EBITDA, PAT and cash accruals. The capital stack funds the total project cost ('Project Cost'!C14) with promoter equity (Assumptions!B52) plus a bank term loan (Assumptions!B51), backed by a working-capital cash-credit line sized on the MPBF / Tandon 2nd-method assessment. The industry (Assumptions!B3) only changes labels and units, never the arithmetic.</t>
  </si>
  <si>
    <t xml:space="preserve">AT A GLANCE</t>
  </si>
  <si>
    <t xml:space="preserve">Total project cost (₹ L)</t>
  </si>
  <si>
    <t xml:space="preserve">Debt : Equity (TL / Equity)</t>
  </si>
  <si>
    <t xml:space="preserve">Net sales — Year 5 (₹ L)</t>
  </si>
  <si>
    <t xml:space="preserve">Average DSCR (Years 1-5)</t>
  </si>
  <si>
    <t xml:space="preserve">All four figures are live links to the model, not typed numbers — they recalculate the moment inputs change. ₹ L = ₹ Lakh; a metric shows blank until its driver cells are filled in.</t>
  </si>
  <si>
    <t xml:space="preserve">HOW THE MODEL WORKS</t>
  </si>
  <si>
    <t xml:space="preserve">1.  Inputs live on 'Assumptions' (the single control panel).</t>
  </si>
  <si>
    <t xml:space="preserve">Every blue-font / yellow-fill cell in column B is a lever — capacity (B5), Year-1 price &amp; material per unit (B10, B11), the 12-month utilisation ramp (B16:B27) and annual plateaus (B28:B31), escalations (B33:B37), cost drivers (B39:B49), financing (B51:B56), WC norms (B58:B62) and depreciation/tax (B64:B71). Nothing else should be typed.</t>
  </si>
  <si>
    <t xml:space="preserve">2.  'Project Cost' fixes the capital stack.</t>
  </si>
  <si>
    <t xml:space="preserve">Cost of project (land, building, P&amp;M, electricals, utilities, misc, contingency, pre-op, WC margin) totals in C14; means of finance pulls equity (=Assumptions!$B$52) and term loan (=Assumptions!$B$51) into C18:C19, and derives debt:equity (C22) and promoter contribution % (C23).</t>
  </si>
  <si>
    <t xml:space="preserve">3.  Linking mechanism — direct cross-sheet references.</t>
  </si>
  <si>
    <t xml:space="preserve">The model uses no named ranges; every sheet points straight at source cells with quoted sheet names — for example 'Profitability (Annual)'!$C$9 or Assumptions!$B$51. Each output is wrapped in IFERROR so a blank template shows clean empty cells rather than divide-by-zero errors while the inputs are still empty.</t>
  </si>
  <si>
    <t xml:space="preserve">4.  'Depreciation' schedule (SLM, Companies Act Sch II).</t>
  </si>
  <si>
    <t xml:space="preserve">Takes the gross block from 'Project Cost' and the SLM rates from 'Assumptions' (B64:B69), producing the annual charge and closing net-fixed-asset book value (O13) and unamortised pre-op (O14) that feed the Balance Sheet.</t>
  </si>
  <si>
    <t xml:space="preserve">5.  'Term Loan' repayment engine (60 months).</t>
  </si>
  <si>
    <t xml:space="preserve">Disburses the sanctioned loan, applies the principal moratorium (Assumptions!B54) then equal monthly principal over the repayment period (B55), and computes monthly interest at the term-loan rate (B53). Its opening/closing balances and interest feed the P&amp;L, DSCR and Balance Sheet.</t>
  </si>
  <si>
    <t xml:space="preserve">6.  'Production &amp; Sales' converts capacity to revenue.</t>
  </si>
  <si>
    <t xml:space="preserve">Installed capacity (Assumptions!$B$5) × monthly utilisation gives units delivered/sold (row 9); units × escalated realisation gives NET SALES (row 12) in ₹ Lakh net of GST, month by month across all 60 columns (C:BJ).</t>
  </si>
  <si>
    <t xml:space="preserve">7.  'Profitability (Monthly)' rolls into 'Profitability (Annual)' [CMA Form II].</t>
  </si>
  <si>
    <t xml:space="preserve">The monthly P&amp;L links revenue, variable and fixed costs, depreciation and interest down to PAT; the annual sheet rolls each line up by year — e.g. Net Sales in C9 via SUM('Profitability (Monthly)'!C8:N8) — and computes EBITDA (row 27), PAT (row 36) and cash accruals (row 38).</t>
  </si>
  <si>
    <t xml:space="preserve">8.  'Working Capital', 'Balance Sheet' &amp; 'Cash Flow' close the loop.</t>
  </si>
  <si>
    <t xml:space="preserve">Working Capital sizes current assets and the MPBF cash-credit limit (Tandon II) that drives WC interest; the Balance Sheet [Form III] builds net worth (H8) with cash as the balancing figure; the Cash Flow [Form VI] reconciles closing cash back to that line.</t>
  </si>
  <si>
    <t xml:space="preserve">9.  'Ratios &amp; DSCR' and 'Break-even &amp; Sensitivity' grade bankability.</t>
  </si>
  <si>
    <t xml:space="preserve">Ratios derive margins, leverage, coverage, liquidity and turnover from the statements, with DSCR per year and Average DSCR in C26; Break-even computes break-even sales, margin of safety and a one-way sensitivity of Year-3 PBT to price, material cost and volume.</t>
  </si>
  <si>
    <t xml:space="preserve">TIP — to re-underwrite: edit ONLY the blue / yellow input cells in column B of 'Assumptions' (and the cost lines in column C of 'Project Cost'). Every statement, ratio and the metrics above recalculate automatically; never overwrite a black formula cell.</t>
  </si>
  <si>
    <t xml:space="preserve">INDEX / TABLE OF CONTENTS</t>
  </si>
  <si>
    <t xml:space="preserve">Click any row to jump to the sheet. The model is fully linked — change any blue input on 'Assumptions' and every sheet recalculates.</t>
  </si>
  <si>
    <t xml:space="preserve">#</t>
  </si>
  <si>
    <t xml:space="preserve">Sheet</t>
  </si>
  <si>
    <t xml:space="preserve">Description</t>
  </si>
  <si>
    <t xml:space="preserve">Go</t>
  </si>
  <si>
    <t xml:space="preserve">Cover</t>
  </si>
  <si>
    <t xml:space="preserve">Title page &amp; project snapshot</t>
  </si>
  <si>
    <t xml:space="preserve">Open ↗</t>
  </si>
  <si>
    <t xml:space="preserve">Assumptions</t>
  </si>
  <si>
    <t xml:space="preserve">All inputs, blended price/cost engine &amp; live data-source links</t>
  </si>
  <si>
    <t xml:space="preserve">Project Cost</t>
  </si>
  <si>
    <t xml:space="preserve">Cost of project &amp; means of finance (D:E)</t>
  </si>
  <si>
    <t xml:space="preserve">Depreciation</t>
  </si>
  <si>
    <t xml:space="preserve">WDV depreciation &amp; amortisation schedule</t>
  </si>
  <si>
    <t xml:space="preserve">Term Loan</t>
  </si>
  <si>
    <t xml:space="preserve">Monthly term-loan repayment schedule (principal + interest)</t>
  </si>
  <si>
    <t xml:space="preserve">Production &amp; Sales</t>
  </si>
  <si>
    <t xml:space="preserve">60-month volume plan: units × realisation → net sales</t>
  </si>
  <si>
    <t xml:space="preserve">Profitability (Monthly)</t>
  </si>
  <si>
    <t xml:space="preserve">60-month P&amp;L — revenue to PAT, fully linked</t>
  </si>
  <si>
    <t xml:space="preserve">Profitability (Annual)</t>
  </si>
  <si>
    <t xml:space="preserve">CMA Operating Statement (Form II) — 5-year roll-up</t>
  </si>
  <si>
    <t xml:space="preserve">Working Capital</t>
  </si>
  <si>
    <t xml:space="preserve">Working-capital assessment &amp; MPBF (Tandon II)</t>
  </si>
  <si>
    <t xml:space="preserve">Balance Sheet</t>
  </si>
  <si>
    <t xml:space="preserve">Projected balance sheet (Form III)</t>
  </si>
  <si>
    <t xml:space="preserve">Cash Flow</t>
  </si>
  <si>
    <t xml:space="preserve">Projected cash-flow statement (Form VI) + reconciliation</t>
  </si>
  <si>
    <t xml:space="preserve">Ratios &amp; DSCR</t>
  </si>
  <si>
    <t xml:space="preserve">Bankability ratios &amp; debt-service coverage</t>
  </si>
  <si>
    <t xml:space="preserve">Break-even &amp; Sensitivity</t>
  </si>
  <si>
    <t xml:space="preserve">Break-even, margin of safety &amp; sensitivity tables</t>
  </si>
  <si>
    <t xml:space="preserve">KEY OUTPUTS AT A GLANCE</t>
  </si>
  <si>
    <t xml:space="preserve">Total project cost</t>
  </si>
  <si>
    <t xml:space="preserve">Debt : Equity</t>
  </si>
  <si>
    <t xml:space="preserve">Net sales – Year 1</t>
  </si>
  <si>
    <t xml:space="preserve">Net sales – Year 5</t>
  </si>
  <si>
    <t xml:space="preserve">EBITDA – Year 5</t>
  </si>
  <si>
    <t xml:space="preserve">PAT – Year 5</t>
  </si>
  <si>
    <t xml:space="preserve">Net worth – Year 5</t>
  </si>
  <si>
    <t xml:space="preserve">ASSUMPTIONS &amp; BASIS OF PROJECTIONS  —  full calculation engine (all downstream sheets link here)</t>
  </si>
  <si>
    <t xml:space="preserve">Blue = input you can change  •  Black = calculated  •  Yellow = key driver  •  Source column links are live (as at Jul-2026)</t>
  </si>
  <si>
    <t xml:space="preserve">Industry / business type</t>
  </si>
  <si>
    <t xml:space="preserve">General Business</t>
  </si>
  <si>
    <t xml:space="preserve">select</t>
  </si>
  <si>
    <t xml:space="preserve">Pick the business type — labels, units and notes across the whole model adapt. Calculations are identical for every industry.</t>
  </si>
  <si>
    <t xml:space="preserve">1.  GENERAL &amp; TIMELINE</t>
  </si>
  <si>
    <t xml:space="preserve">Rated output at 100% utilisation; effective output is governed by the utilisation ramp (Section 3). Define one 'unit' clearly for your business.</t>
  </si>
  <si>
    <t xml:space="preserve">Commercial operations start (FY)</t>
  </si>
  <si>
    <t xml:space="preserve">year Yr1 starts</t>
  </si>
  <si>
    <t xml:space="preserve">Calendar year in which Year 1 starts (April). 2026 = FY2026-27. Every year / month heading in the model follows this.</t>
  </si>
  <si>
    <t xml:space="preserve">Working days / month (for WC norms)</t>
  </si>
  <si>
    <t xml:space="preserve">days</t>
  </si>
  <si>
    <t xml:space="preserve">Standard month convention for holding-period working-capital sizing.</t>
  </si>
  <si>
    <t xml:space="preserve">2.  UNIT ECONOMICS (PRICE &amp; DIRECT MATERIAL, Year-1 base)</t>
  </si>
  <si>
    <t xml:space="preserve">Per-unit economics. Enter the selling price and direct cost from the promoter's own quotations / market survey — every downstream sheet recalculates automatically.</t>
  </si>
  <si>
    <t xml:space="preserve">Net-of-GST realisation per unit; escalated year-on-year by the price escalation (Section 4).</t>
  </si>
  <si>
    <t xml:space="preserve">Bought-in goods / direct cost of delivering one unit, inclusive of normal wastage.</t>
  </si>
  <si>
    <t xml:space="preserve">3.  CAPACITY UTILISATION (RAMP-UP)</t>
  </si>
  <si>
    <t xml:space="preserve">Year-1 monthly ramp (new facility / market development), then annual plateau. Conservative feasibility ramp.</t>
  </si>
  <si>
    <t xml:space="preserve">Year-1 utilisation, Months 1-12</t>
  </si>
  <si>
    <t xml:space="preserve">   (month → util %)</t>
  </si>
  <si>
    <t xml:space="preserve">Year 1 – Month 1</t>
  </si>
  <si>
    <t xml:space="preserve">%</t>
  </si>
  <si>
    <t xml:space="preserve">Commissioning / launch ramp-up</t>
  </si>
  <si>
    <t xml:space="preserve">Year 1 – Month 2</t>
  </si>
  <si>
    <t xml:space="preserve">Year 1 – Month 3</t>
  </si>
  <si>
    <t xml:space="preserve">Year 1 – Month 4</t>
  </si>
  <si>
    <t xml:space="preserve">Year 1 – Month 5</t>
  </si>
  <si>
    <t xml:space="preserve">Year 1 – Month 6</t>
  </si>
  <si>
    <t xml:space="preserve">Year 1 – Month 7</t>
  </si>
  <si>
    <t xml:space="preserve">Stabilised ramp</t>
  </si>
  <si>
    <t xml:space="preserve">Year 1 – Month 8</t>
  </si>
  <si>
    <t xml:space="preserve">Year 1 – Month 9</t>
  </si>
  <si>
    <t xml:space="preserve">Year 1 – Month 10</t>
  </si>
  <si>
    <t xml:space="preserve">Year 1 – Month 11</t>
  </si>
  <si>
    <t xml:space="preserve">Year 1 – Month 12</t>
  </si>
  <si>
    <t xml:space="preserve">Year 2 utilisation</t>
  </si>
  <si>
    <t xml:space="preserve">Market established, ramp towards full capacity.</t>
  </si>
  <si>
    <t xml:space="preserve">Year 3 utilisation</t>
  </si>
  <si>
    <t xml:space="preserve">Efficient operating band.</t>
  </si>
  <si>
    <t xml:space="preserve">Year 4 utilisation</t>
  </si>
  <si>
    <t xml:space="preserve">Mature operations.</t>
  </si>
  <si>
    <t xml:space="preserve">Year 5 utilisation</t>
  </si>
  <si>
    <t xml:space="preserve">Sustainable ceiling (allows maintenance downtime).</t>
  </si>
  <si>
    <t xml:space="preserve">4.  ANNUAL ESCALATION (applied Year-on-Year)</t>
  </si>
  <si>
    <t xml:space="preserve">Selling-price escalation</t>
  </si>
  <si>
    <t xml:space="preserve">% p.a.</t>
  </si>
  <si>
    <t xml:space="preserve">Realisation growth broadly tracking input inflation.</t>
  </si>
  <si>
    <t xml:space="preserve">Direct-material escalation</t>
  </si>
  <si>
    <t xml:space="preserve">Expected annual input-material price trend.</t>
  </si>
  <si>
    <t xml:space="preserve">Utility / power tariff escalation</t>
  </si>
  <si>
    <t xml:space="preserve">Annual drift in utility tariffs.</t>
  </si>
  <si>
    <t xml:space="preserve">Wage / salary escalation</t>
  </si>
  <si>
    <t xml:space="preserve">Annual increments + statutory revisions.</t>
  </si>
  <si>
    <t xml:space="preserve">Other overhead escalation</t>
  </si>
  <si>
    <t xml:space="preserve">General inflation on fixed overheads.</t>
  </si>
  <si>
    <t xml:space="preserve">5.  OTHER VARIABLE COST DRIVERS (Year-1 base)</t>
  </si>
  <si>
    <t xml:space="preserve">Energy / utilities cost per unit; escalates with the utility-cost escalation (Section 4).</t>
  </si>
  <si>
    <t xml:space="preserve">Consumable supplies consumed per unit.</t>
  </si>
  <si>
    <t xml:space="preserve">Packing / delivery / distribution cost per unit.</t>
  </si>
  <si>
    <t xml:space="preserve">₹L/mo</t>
  </si>
  <si>
    <t xml:space="preserve">Operating staff across shifts; semi-fixed, escalates with wages.</t>
  </si>
  <si>
    <t xml:space="preserve">6.  FIXED / OVERHEAD COSTS (Year-1 base, monthly)</t>
  </si>
  <si>
    <t xml:space="preserve">Admin &amp; management salaries</t>
  </si>
  <si>
    <t xml:space="preserve">Management, sales, accounts, admin, security.</t>
  </si>
  <si>
    <t xml:space="preserve">Fixed utility / contract-demand charges independent of volume.</t>
  </si>
  <si>
    <t xml:space="preserve">Repairs &amp; maintenance</t>
  </si>
  <si>
    <t xml:space="preserve">% of P&amp;M/yr</t>
  </si>
  <si>
    <t xml:space="preserve">Typically 1–2% of equipment cost per annum (spares, servicing).</t>
  </si>
  <si>
    <t xml:space="preserve">Insurance</t>
  </si>
  <si>
    <t xml:space="preserve">% of FA/yr</t>
  </si>
  <si>
    <t xml:space="preserve">Typically ~0.4% of gross fixed assets p.a. (fire, burglary, breakdown).</t>
  </si>
  <si>
    <t xml:space="preserve">Other admin overheads</t>
  </si>
  <si>
    <t xml:space="preserve">Office, travel, communication, audit, statutory, misc.</t>
  </si>
  <si>
    <t xml:space="preserve">Selling &amp; distribution</t>
  </si>
  <si>
    <t xml:space="preserve">% of sales</t>
  </si>
  <si>
    <t xml:space="preserve">Freight, commission, marketing &amp; distribution (variable with sales).</t>
  </si>
  <si>
    <t xml:space="preserve">7.  PROJECT FINANCING</t>
  </si>
  <si>
    <t xml:space="preserve">Term loan sanctioned</t>
  </si>
  <si>
    <t xml:space="preserve">₹L</t>
  </si>
  <si>
    <t xml:space="preserve">Funds ~57% of fixed assets. See 'Project Cost' sheet.</t>
  </si>
  <si>
    <t xml:space="preserve">Promoter equity / capital</t>
  </si>
  <si>
    <t xml:space="preserve">Balancing contribution incl. WC margin money; D:E ≈ 1.04.</t>
  </si>
  <si>
    <t xml:space="preserve">Term-loan interest rate</t>
  </si>
  <si>
    <t xml:space="preserve">MSME term loan ≈ Repo (5.25%) + ~2.65% + spread. SBI/BoB EBLR basis, 2026.</t>
  </si>
  <si>
    <t xml:space="preserve">Bank of Baroda BRLLR / SBI EBLR 2026</t>
  </si>
  <si>
    <t xml:space="preserve">Term-loan moratorium (principal)</t>
  </si>
  <si>
    <t xml:space="preserve">months</t>
  </si>
  <si>
    <t xml:space="preserve">Principal holiday during ramp-up; interest serviced monthly.</t>
  </si>
  <si>
    <t xml:space="preserve">Term-loan repayment period</t>
  </si>
  <si>
    <t xml:space="preserve">Equal monthly principal after moratorium (8-yr door-to-door).</t>
  </si>
  <si>
    <t xml:space="preserve">Working-capital (CC) interest rate</t>
  </si>
  <si>
    <t xml:space="preserve">Cash-credit on assessed bank finance. MSME WC 2026.</t>
  </si>
  <si>
    <t xml:space="preserve">SBI SME / MSME WC rate 2026</t>
  </si>
  <si>
    <t xml:space="preserve">8.  WORKING-CAPITAL HOLDING NORMS (for MPBF)</t>
  </si>
  <si>
    <t xml:space="preserve">Days of direct-cost consumption held in stock.</t>
  </si>
  <si>
    <t xml:space="preserve">Days of cost of operations held as finished stock.</t>
  </si>
  <si>
    <t xml:space="preserve">Receivables (debtors)</t>
  </si>
  <si>
    <t xml:space="preserve">Credit allowed to customers.</t>
  </si>
  <si>
    <t xml:space="preserve">Payables (creditors)</t>
  </si>
  <si>
    <t xml:space="preserve">Credit received from suppliers.</t>
  </si>
  <si>
    <t xml:space="preserve">Margin on working capital (NWC)</t>
  </si>
  <si>
    <t xml:space="preserve">Tandon 2nd method: 25% of current assets from long-term funds.</t>
  </si>
  <si>
    <t xml:space="preserve">9.  DEPRECIATION (SLM, Companies Act Sch II) &amp; TAX</t>
  </si>
  <si>
    <t xml:space="preserve">% SLM</t>
  </si>
  <si>
    <t xml:space="preserve">Building / civil — Companies Act Sch II (typical life ~30 yrs; confirm per asset).</t>
  </si>
  <si>
    <t xml:space="preserve">Equipment / machinery — Companies Act Sch II (typical life ~15 yrs; set per asset type).</t>
  </si>
  <si>
    <t xml:space="preserve">Electrical installation depreciation (SLM)</t>
  </si>
  <si>
    <t xml:space="preserve">Electrical installation — Companies Act Sch II (~10 yrs).</t>
  </si>
  <si>
    <t xml:space="preserve">Utilities depreciation (SLM)</t>
  </si>
  <si>
    <t xml:space="preserve">Utilities &amp; services — Companies Act Sch II (~15 yrs).</t>
  </si>
  <si>
    <t xml:space="preserve">Misc / office assets depreciation (SLM)</t>
  </si>
  <si>
    <t xml:space="preserve">Office / furniture / IT — Companies Act Sch II (furniture 10 yrs, computers 3 yrs).</t>
  </si>
  <si>
    <t xml:space="preserve">Pre-operative amortisation</t>
  </si>
  <si>
    <t xml:space="preserve">% / yr</t>
  </si>
  <si>
    <t xml:space="preserve">Written off over 5 years (straight line).</t>
  </si>
  <si>
    <t xml:space="preserve">Corporate tax rate (effective)</t>
  </si>
  <si>
    <t xml:space="preserve">Sec 115BAA new domestic company: 22% + surcharge + cess ≈ 25.17%.</t>
  </si>
  <si>
    <t xml:space="preserve">Income Tax Act s.115BAA</t>
  </si>
  <si>
    <t xml:space="preserve">GST (pass-through)</t>
  </si>
  <si>
    <t xml:space="preserve">Illustrative 18% output &amp; input GST; revenue modelled net of GST. Set to the product’s actual GST rate.</t>
  </si>
  <si>
    <t xml:space="preserve">CBIC GST rate finder</t>
  </si>
  <si>
    <t xml:space="preserve">10.  KEY DATA SOURCES (live links, accessed Jul-2026)</t>
  </si>
  <si>
    <t xml:space="preserve">Note: the financing, tax &amp; GST anchors below are public sources. Selling price, direct cost and capacity are placeholders — substantiate them with the promoter's quotations / market survey.</t>
  </si>
  <si>
    <t xml:space="preserve">[1]  MSME term-loan / MCLR-EBLR rates (Bank of Baroda)</t>
  </si>
  <si>
    <t xml:space="preserve">Open link ↗</t>
  </si>
  <si>
    <t xml:space="preserve">[2]  SBI SME segment interest rates</t>
  </si>
  <si>
    <t xml:space="preserve">[3]  MSME working-capital loan rates 2026 (BankBazaar)</t>
  </si>
  <si>
    <t xml:space="preserve">[4]  Income Tax India (s.115BAA corporate tax)</t>
  </si>
  <si>
    <t xml:space="preserve">[5]  CBIC-GST (GST rate finder / HSN)</t>
  </si>
  <si>
    <t xml:space="preserve">PROJECT COST &amp; MEANS OF FINANCE   (₹ Lakh)</t>
  </si>
  <si>
    <t xml:space="preserve">A.  COST OF PROJECT</t>
  </si>
  <si>
    <t xml:space="preserve">Particulars</t>
  </si>
  <si>
    <t xml:space="preserve">Amount</t>
  </si>
  <si>
    <t xml:space="preserve">Dep. block</t>
  </si>
  <si>
    <t xml:space="preserve">Basis / remarks</t>
  </si>
  <si>
    <t xml:space="preserve">Land &amp; site development</t>
  </si>
  <si>
    <t xml:space="preserve">Land (nil dep.)</t>
  </si>
  <si>
    <t xml:space="preserve">Land / site / premises development (enter nil if premises are leased).</t>
  </si>
  <si>
    <t xml:space="preserve">Building</t>
  </si>
  <si>
    <t xml:space="preserve">Construction / civil works / interiors &amp; fit-out of premises.</t>
  </si>
  <si>
    <t xml:space="preserve">Equipment</t>
  </si>
  <si>
    <t xml:space="preserve">Core equipment, machinery, vehicles or systems &amp; installation.</t>
  </si>
  <si>
    <t xml:space="preserve">Electrical installation &amp; power back-up</t>
  </si>
  <si>
    <t xml:space="preserve">Electrical</t>
  </si>
  <si>
    <t xml:space="preserve">Panels, wiring, transformer, DG / UPS back-up.</t>
  </si>
  <si>
    <t xml:space="preserve">Utilities &amp; services (water, HVAC, fire-fighting etc.)</t>
  </si>
  <si>
    <t xml:space="preserve">Utilities</t>
  </si>
  <si>
    <t xml:space="preserve">Water, cooling / air-conditioning, fire-fighting, other services.</t>
  </si>
  <si>
    <t xml:space="preserve">Miscellaneous fixed assets (office, IT, furniture, tools)</t>
  </si>
  <si>
    <t xml:space="preserve">Misc</t>
  </si>
  <si>
    <t xml:space="preserve">Furniture, computers, software / ERP, tools, testing equipment.</t>
  </si>
  <si>
    <t xml:space="preserve">Contingency</t>
  </si>
  <si>
    <t xml:space="preserve">~3% on equipment / civil for cost overrun.</t>
  </si>
  <si>
    <t xml:space="preserve">Pre-operative &amp; preliminary expenses</t>
  </si>
  <si>
    <t xml:space="preserve">Pre-op (amort.)</t>
  </si>
  <si>
    <t xml:space="preserve">Trial runs, interest during construction, fees, start-up and licensing costs.</t>
  </si>
  <si>
    <t xml:space="preserve">Margin money for working capital</t>
  </si>
  <si>
    <t xml:space="preserve">Current assets</t>
  </si>
  <si>
    <t xml:space="preserve">Promoter margin toward the first working-capital cycle.</t>
  </si>
  <si>
    <t xml:space="preserve">TOTAL PROJECT COST</t>
  </si>
  <si>
    <t xml:space="preserve">B.  MEANS OF FINANCE</t>
  </si>
  <si>
    <t xml:space="preserve">Source</t>
  </si>
  <si>
    <t xml:space="preserve">% of cost</t>
  </si>
  <si>
    <t xml:space="preserve">Remarks</t>
  </si>
  <si>
    <t xml:space="preserve">Promoter's equity / capital</t>
  </si>
  <si>
    <t xml:space="preserve">Incl. WC margin money.</t>
  </si>
  <si>
    <t xml:space="preserve">Term loan from bank</t>
  </si>
  <si>
    <t xml:space="preserve">Secured against fixed assets.</t>
  </si>
  <si>
    <t xml:space="preserve">TOTAL MEANS OF FINANCE</t>
  </si>
  <si>
    <t xml:space="preserve">Check (Cost = Finance)</t>
  </si>
  <si>
    <t xml:space="preserve">Debt : Equity (Term loan / Equity)</t>
  </si>
  <si>
    <t xml:space="preserve">Promoter contribution %</t>
  </si>
  <si>
    <t xml:space="preserve">DEPRECIATION SCHEDULE — Straight-Line Method, Companies Act Schedule II   (₹ Lakh)</t>
  </si>
  <si>
    <t xml:space="preserve">Gross block from 'Project Cost'; SLM rates (per asset useful life) from 'Assumptions'. Gross block × SLM rate = annual charge, floored at residual book value.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</si>
  <si>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</si>
  <si>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</si>
  <si>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</si>
  <si>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</si>
  <si>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</si>
  <si>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Asset block</t>
  </si>
  <si>
    <t xml:space="preserve">Gross</t>
  </si>
  <si>
    <t xml:space="preserve">Rate</t>
  </si>
  <si>
    <t xml:space="preserve">Open</t>
  </si>
  <si>
    <t xml:space="preserve">Dep.</t>
  </si>
  <si>
    <t xml:space="preserve">Close</t>
  </si>
  <si>
    <t xml:space="preserve">Electrical installation</t>
  </si>
  <si>
    <t xml:space="preserve">Miscellaneous / office assets</t>
  </si>
  <si>
    <t xml:space="preserve">Pre-operative (amortised 5 yr SL)</t>
  </si>
  <si>
    <t xml:space="preserve">TOTAL DEPRECIATION &amp; AMORTISATION</t>
  </si>
  <si>
    <t xml:space="preserve">Net fixed assets (closing book value incl. land, excl. pre-op)</t>
  </si>
  <si>
    <t xml:space="preserve">Pre-operative (unamortised, closing)</t>
  </si>
  <si>
    <t xml:space="preserve">TERM LOAN REPAYMENT SCHEDULE  (₹ Lakh)</t>
  </si>
  <si>
    <t xml:space="preserve">Disbursed at start. Moratorium on principal per Assumptions; interest serviced monthly. Repaid in equal monthly principal thereafter.</t>
  </si>
  <si>
    <t xml:space="preserve">Month</t>
  </si>
  <si>
    <t xml:space="preserve">Unit</t>
  </si>
  <si>
    <t xml:space="preserve">Month #</t>
  </si>
  <si>
    <t xml:space="preserve">Year #</t>
  </si>
  <si>
    <t xml:space="preserve">Opening loan balance</t>
  </si>
  <si>
    <t xml:space="preserve">₹ L</t>
  </si>
  <si>
    <t xml:space="preserve">Add: disbursement</t>
  </si>
  <si>
    <t xml:space="preserve">Less: principal repayment</t>
  </si>
  <si>
    <t xml:space="preserve">Interest for the month</t>
  </si>
  <si>
    <t xml:space="preserve">Closing loan balance</t>
  </si>
  <si>
    <t xml:space="preserve">Total outflow (principal + interest)</t>
  </si>
  <si>
    <t xml:space="preserve">OUTPUT / VOLUME &amp; SALES PLAN  (monthly, 5 years)</t>
  </si>
  <si>
    <t xml:space="preserve">Capacity × utilisation = units delivered; units × escalated realisation = net sales (₹ Lakh).</t>
  </si>
  <si>
    <t xml:space="preserve">Capacity utilisation</t>
  </si>
  <si>
    <t xml:space="preserve">Output delivered (volume)</t>
  </si>
  <si>
    <t xml:space="preserve">Sales volume</t>
  </si>
  <si>
    <t xml:space="preserve">Realisation</t>
  </si>
  <si>
    <t xml:space="preserve">NET SALES</t>
  </si>
  <si>
    <t xml:space="preserve">PROFITABILITY STATEMENT  (monthly, 5 years)   —   ₹ Lakh</t>
  </si>
  <si>
    <t xml:space="preserve">Every line links to Assumptions / Production &amp; Sales / Term Loan / Working Capital. Escalation applied by year.</t>
  </si>
  <si>
    <t xml:space="preserve">A.  REVENUE</t>
  </si>
  <si>
    <t xml:space="preserve">Net Sales (net of GST)</t>
  </si>
  <si>
    <t xml:space="preserve">Direct labour</t>
  </si>
  <si>
    <t xml:space="preserve">Total variable / direct cost</t>
  </si>
  <si>
    <t xml:space="preserve">CONTRIBUTION (Gross margin)</t>
  </si>
  <si>
    <t xml:space="preserve">Contribution margin</t>
  </si>
  <si>
    <t xml:space="preserve">C.  FIXED &amp; OVERHEAD COST</t>
  </si>
  <si>
    <t xml:space="preserve">Total fixed overheads</t>
  </si>
  <si>
    <t xml:space="preserve">D.  PROFITABILITY</t>
  </si>
  <si>
    <t xml:space="preserve">EBITDA</t>
  </si>
  <si>
    <t xml:space="preserve">EBITDA margin</t>
  </si>
  <si>
    <t xml:space="preserve">Depreciation &amp; amortisation</t>
  </si>
  <si>
    <t xml:space="preserve">EBIT</t>
  </si>
  <si>
    <t xml:space="preserve">Interest on term loan</t>
  </si>
  <si>
    <t xml:space="preserve">Interest on working capital</t>
  </si>
  <si>
    <t xml:space="preserve">Total interest</t>
  </si>
  <si>
    <t xml:space="preserve">Profit before tax (PBT)</t>
  </si>
  <si>
    <t xml:space="preserve">Provision for tax</t>
  </si>
  <si>
    <t xml:space="preserve">PROFIT AFTER TAX (PAT)</t>
  </si>
  <si>
    <t xml:space="preserve">PAT margin</t>
  </si>
  <si>
    <t xml:space="preserve">Cumulative PAT</t>
  </si>
  <si>
    <t xml:space="preserve">OPERATING STATEMENT — PROJECTED PROFITABILITY (5 YEARS)   —   ₹ Lakh   [CMA Form II]</t>
  </si>
  <si>
    <t xml:space="preserve">Annual totals rolled up from the monthly Profitability statement. Margins recomputed on annual aggregates.</t>
  </si>
  <si>
    <t xml:space="preserve">A.  CAPACITY &amp; VOLUME</t>
  </si>
  <si>
    <t xml:space="preserve">Average capacity utilisation</t>
  </si>
  <si>
    <t xml:space="preserve">Output / sales volume</t>
  </si>
  <si>
    <t xml:space="preserve">B.  REVENUE</t>
  </si>
  <si>
    <t xml:space="preserve">C.  COST OF SALES – VARIABLE</t>
  </si>
  <si>
    <t xml:space="preserve">Total variable cost</t>
  </si>
  <si>
    <t xml:space="preserve">Contribution</t>
  </si>
  <si>
    <t xml:space="preserve">D.  FIXED &amp; OVERHEAD COST</t>
  </si>
  <si>
    <t xml:space="preserve">E.  PROFITABILITY</t>
  </si>
  <si>
    <t xml:space="preserve">EBITDA (Operating profit)</t>
  </si>
  <si>
    <t xml:space="preserve">Total interest &amp; finance cost</t>
  </si>
  <si>
    <t xml:space="preserve">Cash accruals (PAT + Depreciation)</t>
  </si>
  <si>
    <t xml:space="preserve">WORKING CAPITAL ASSESSMENT &amp; MPBF  (Tandon 2nd method)   —   ₹ Lakh</t>
  </si>
  <si>
    <t xml:space="preserve">Holding norms &amp; margins from 'Assumptions'. Assessed bank finance (cash credit) drives WC interest in the P&amp;L.</t>
  </si>
  <si>
    <t xml:space="preserve">Norm</t>
  </si>
  <si>
    <t xml:space="preserve">A.  OPERATING BASE</t>
  </si>
  <si>
    <t xml:space="preserve">Net sales</t>
  </si>
  <si>
    <t xml:space="preserve">Facility fixed (R&amp;M + fixed utilities + insurance)</t>
  </si>
  <si>
    <t xml:space="preserve">B.  CURRENT ASSETS</t>
  </si>
  <si>
    <t xml:space="preserve">TOTAL CURRENT ASSETS</t>
  </si>
  <si>
    <t xml:space="preserve">C.  CURRENT LIABILITIES (other than bank)</t>
  </si>
  <si>
    <t xml:space="preserve">D.  MPBF COMPUTATION (Tandon II)</t>
  </si>
  <si>
    <t xml:space="preserve">Working-capital gap (TCA − creditors)</t>
  </si>
  <si>
    <t xml:space="preserve">Less: min. margin (25% of TCA)</t>
  </si>
  <si>
    <t xml:space="preserve">MPBF / Assessed bank finance (CC limit)</t>
  </si>
  <si>
    <t xml:space="preserve">Net working capital (promoter funded)</t>
  </si>
  <si>
    <t xml:space="preserve">E.  WORKING-CAPITAL FINANCE COST</t>
  </si>
  <si>
    <t xml:space="preserve">Interest on cash credit (@ CC rate)</t>
  </si>
  <si>
    <t xml:space="preserve">(assumes limit fully drawn on average)</t>
  </si>
  <si>
    <t xml:space="preserve">PROJECTED BALANCE SHEET (5 YEARS)   —   ₹ Lakh   [CMA Form III]</t>
  </si>
  <si>
    <t xml:space="preserve">'At start' = position on commissioning. Cash &amp; bank is the balancing figure; reconciled against the Cash-Flow statement.</t>
  </si>
  <si>
    <t xml:space="preserve">At start</t>
  </si>
  <si>
    <t xml:space="preserve">I.  LIABILITIES / SOURCES OF FUNDS</t>
  </si>
  <si>
    <t xml:space="preserve">Promoter's capital / equity</t>
  </si>
  <si>
    <t xml:space="preserve">Reserves &amp; surplus (accumulated PAT)</t>
  </si>
  <si>
    <t xml:space="preserve">Net worth</t>
  </si>
  <si>
    <t xml:space="preserve">Term loan (closing)</t>
  </si>
  <si>
    <t xml:space="preserve">Working-capital borrowing (cash credit)</t>
  </si>
  <si>
    <t xml:space="preserve">Sundry creditors</t>
  </si>
  <si>
    <t xml:space="preserve">TOTAL LIABILITIES</t>
  </si>
  <si>
    <t xml:space="preserve">II.  ASSETS / APPLICATION OF FUNDS</t>
  </si>
  <si>
    <t xml:space="preserve">Net fixed assets (incl. land)</t>
  </si>
  <si>
    <t xml:space="preserve">Pre-operative expenses (unamortised)</t>
  </si>
  <si>
    <t xml:space="preserve">Cash &amp; bank balance (balancing)</t>
  </si>
  <si>
    <t xml:space="preserve">TOTAL ASSETS</t>
  </si>
  <si>
    <t xml:space="preserve">Check (Assets − Liabilities)</t>
  </si>
  <si>
    <t xml:space="preserve">PROJECTED CASH-FLOW STATEMENT (5 YEARS)   —   ₹ Lakh   [CMA Form VI]</t>
  </si>
  <si>
    <t xml:space="preserve">Closing cash reconciles to the Balance-Sheet cash line.</t>
  </si>
  <si>
    <t xml:space="preserve">SOURCES OF FUNDS</t>
  </si>
  <si>
    <t xml:space="preserve">Equity introduced</t>
  </si>
  <si>
    <t xml:space="preserve">Term loan drawn</t>
  </si>
  <si>
    <t xml:space="preserve">Increase in cash-credit borrowing</t>
  </si>
  <si>
    <t xml:space="preserve">Increase in creditors</t>
  </si>
  <si>
    <t xml:space="preserve">Total sources</t>
  </si>
  <si>
    <t xml:space="preserve">USES OF FUNDS</t>
  </si>
  <si>
    <t xml:space="preserve">Capital expenditure (fixed assets + pre-op)</t>
  </si>
  <si>
    <t xml:space="preserve">Increase in current assets (inventory + debtors)</t>
  </si>
  <si>
    <t xml:space="preserve">Term-loan principal repayment</t>
  </si>
  <si>
    <t xml:space="preserve">Total uses</t>
  </si>
  <si>
    <t xml:space="preserve">NET CASH-FLOW &amp; BALANCE</t>
  </si>
  <si>
    <t xml:space="preserve">Net surplus / (deficit) for the year</t>
  </si>
  <si>
    <t xml:space="preserve">Opening cash balance</t>
  </si>
  <si>
    <t xml:space="preserve">Closing cash balance</t>
  </si>
  <si>
    <t xml:space="preserve">Reconciliation: BS cash − CF closing</t>
  </si>
  <si>
    <t xml:space="preserve">RATIO ANALYSIS &amp; DEBT-SERVICE COVERAGE (DSCR)</t>
  </si>
  <si>
    <t xml:space="preserve">Key bankability ratios derived from the projected financials. Benchmarks shown for guidance only.</t>
  </si>
  <si>
    <t xml:space="preserve">Ratio</t>
  </si>
  <si>
    <t xml:space="preserve">Benchmark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</si>
  <si>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</si>
  <si>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</si>
  <si>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</si>
  <si>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</si>
  <si>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</si>
  <si>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A.  PROFITABILITY</t>
  </si>
  <si>
    <t xml:space="preserve">≥ 12%</t>
  </si>
  <si>
    <t xml:space="preserve">PBT margin</t>
  </si>
  <si>
    <t xml:space="preserve">Return on capital employed (EBIT/CE)</t>
  </si>
  <si>
    <t xml:space="preserve">Return on net worth (PAT/NW)</t>
  </si>
  <si>
    <t xml:space="preserve">B.  LEVERAGE &amp; COVERAGE</t>
  </si>
  <si>
    <t xml:space="preserve">Debt : Equity (total debt / NW)</t>
  </si>
  <si>
    <t xml:space="preserve">≤ 3.0x</t>
  </si>
  <si>
    <t xml:space="preserve">TOL / TNW</t>
  </si>
  <si>
    <t xml:space="preserve">≤ 4.0x</t>
  </si>
  <si>
    <t xml:space="preserve">Interest coverage (EBIT/Interest)</t>
  </si>
  <si>
    <t xml:space="preserve">≥ 2.0x</t>
  </si>
  <si>
    <t xml:space="preserve">C.  LIQUIDITY</t>
  </si>
  <si>
    <t xml:space="preserve">Current ratio (CA/CL)</t>
  </si>
  <si>
    <t xml:space="preserve">≥ 1.33x</t>
  </si>
  <si>
    <t xml:space="preserve">Quick ratio</t>
  </si>
  <si>
    <t xml:space="preserve">D.  TURNOVER / EFFICIENCY</t>
  </si>
  <si>
    <t xml:space="preserve">Net asset turnover (Sales/TA)</t>
  </si>
  <si>
    <t xml:space="preserve">Debtors</t>
  </si>
  <si>
    <t xml:space="preserve">Inventory (stock)</t>
  </si>
  <si>
    <t xml:space="preserve">E.  DEBT-SERVICE COVERAGE</t>
  </si>
  <si>
    <t xml:space="preserve">Cash available for debt service</t>
  </si>
  <si>
    <t xml:space="preserve">Debt obligation (TL principal + interest)</t>
  </si>
  <si>
    <t xml:space="preserve">DSCR</t>
  </si>
  <si>
    <t xml:space="preserve">≥ 1.50x</t>
  </si>
  <si>
    <t xml:space="preserve">BREAK-EVEN &amp; SENSITIVITY ANALYSIS   —   ₹ Lakh</t>
  </si>
  <si>
    <t xml:space="preserve">Break-even is computed on annual aggregates (fixed cost includes depreciation &amp; interest).</t>
  </si>
  <si>
    <t xml:space="preserve">BREAK-EVEN</t>
  </si>
  <si>
    <t xml:space="preserve">Fixed cost (overheads + dep + interest)</t>
  </si>
  <si>
    <t xml:space="preserve">Break-even sales</t>
  </si>
  <si>
    <t xml:space="preserve">Break-even (% of that year's sales)</t>
  </si>
  <si>
    <t xml:space="preserve">Margin of safety</t>
  </si>
  <si>
    <t xml:space="preserve">Cash break-even sales (excl. depreciation)</t>
  </si>
  <si>
    <t xml:space="preserve">SENSITIVITY — impact on Year-3 PBT (₹ Lakh)</t>
  </si>
  <si>
    <t xml:space="preserve">Scenario</t>
  </si>
  <si>
    <t xml:space="preserve">-10%</t>
  </si>
  <si>
    <t xml:space="preserve">-5%</t>
  </si>
  <si>
    <t xml:space="preserve">Base</t>
  </si>
  <si>
    <t xml:space="preserve">+5%</t>
  </si>
  <si>
    <t xml:space="preserve">+10%</t>
  </si>
  <si>
    <t xml:space="preserve">Selling price change → PBT</t>
  </si>
  <si>
    <t xml:space="preserve">Volume change → PBT</t>
  </si>
  <si>
    <t xml:space="preserve">Note: one-way sensitivity on Year-3 base; volume case scales sales &amp; variable cost together (fixed cost constant).</t>
  </si>
  <si>
    <t xml:space="preserve">INDUSTRY LABEL TABLE  —  drives every industry-specific label in the workbook</t>
  </si>
  <si>
    <t xml:space="preserve">Pick the industry on Assumptions!B3. Labels throughout the model change; no calculation changes. To add an industry: type its name in the next empty header cell of row 4 and fill that column's wording. It appears in the Assumptions!B3 dropdown automatically — no formula needs changing. 'Custom Industry' is a ready-made column to rename and edit.</t>
  </si>
  <si>
    <t xml:space="preserve">Label key</t>
  </si>
  <si>
    <t xml:space="preserve">Used for</t>
  </si>
  <si>
    <t xml:space="preserve">Manufacturing</t>
  </si>
  <si>
    <t xml:space="preserve">Retail &amp; E-Commerce</t>
  </si>
  <si>
    <t xml:space="preserve">Food &amp; Restaurant</t>
  </si>
  <si>
    <t xml:space="preserve">Tourism &amp; Hospitality</t>
  </si>
  <si>
    <t xml:space="preserve">Technology &amp; Software</t>
  </si>
  <si>
    <t xml:space="preserve">Healthcare &amp; Pharma</t>
  </si>
  <si>
    <t xml:space="preserve">Education &amp; Training</t>
  </si>
  <si>
    <t xml:space="preserve">Import-Export Trading</t>
  </si>
  <si>
    <t xml:space="preserve">Transport &amp; Logistics</t>
  </si>
  <si>
    <t xml:space="preserve">Media &amp; Entertainment</t>
  </si>
  <si>
    <t xml:space="preserve">Agriculture &amp; Farming</t>
  </si>
  <si>
    <t xml:space="preserve">Renewable Energy</t>
  </si>
  <si>
    <t xml:space="preserve">Custom Industry</t>
  </si>
  <si>
    <t xml:space="preserve">cap_name</t>
  </si>
  <si>
    <t xml:space="preserve">Assumptions A5, Production &amp; Sales</t>
  </si>
  <si>
    <t xml:space="preserve">Installed / service capacity</t>
  </si>
  <si>
    <t xml:space="preserve">Installed / nameplate capacity</t>
  </si>
  <si>
    <t xml:space="preserve">Transaction capacity (store / platform)</t>
  </si>
  <si>
    <t xml:space="preserve">Seating capacity (covers)</t>
  </si>
  <si>
    <t xml:space="preserve">Room inventory (room-nights available)</t>
  </si>
  <si>
    <t xml:space="preserve">Subscriber / seat capacity</t>
  </si>
  <si>
    <t xml:space="preserve">Patient capacity (beds / OPD slots)</t>
  </si>
  <si>
    <t xml:space="preserve">Student capacity (seats)</t>
  </si>
  <si>
    <t xml:space="preserve">Trading capacity (units handled)</t>
  </si>
  <si>
    <t xml:space="preserve">Fleet capacity (trips / consignments)</t>
  </si>
  <si>
    <t xml:space="preserve">Content / subscriber capacity</t>
  </si>
  <si>
    <t xml:space="preserve">Production capacity (output units)</t>
  </si>
  <si>
    <t xml:space="preserve">Installed generation capacity (energy output)</t>
  </si>
  <si>
    <t xml:space="preserve">cap_unit</t>
  </si>
  <si>
    <t xml:space="preserve">Capacity unit per month</t>
  </si>
  <si>
    <t xml:space="preserve">units/month</t>
  </si>
  <si>
    <t xml:space="preserve">transactions/month</t>
  </si>
  <si>
    <t xml:space="preserve">covers/month</t>
  </si>
  <si>
    <t xml:space="preserve">room-nights/month</t>
  </si>
  <si>
    <t xml:space="preserve">billed users/month</t>
  </si>
  <si>
    <t xml:space="preserve">patients/month</t>
  </si>
  <si>
    <t xml:space="preserve">students/month</t>
  </si>
  <si>
    <t xml:space="preserve">trips/month</t>
  </si>
  <si>
    <t xml:space="preserve">output units/month</t>
  </si>
  <si>
    <t xml:space="preserve">MWh/month</t>
  </si>
  <si>
    <t xml:space="preserve">u_pl</t>
  </si>
  <si>
    <t xml:space="preserve">Unit names (plural)</t>
  </si>
  <si>
    <t xml:space="preserve">units</t>
  </si>
  <si>
    <t xml:space="preserve">transactions</t>
  </si>
  <si>
    <t xml:space="preserve">covers</t>
  </si>
  <si>
    <t xml:space="preserve">room-nights</t>
  </si>
  <si>
    <t xml:space="preserve">billed users</t>
  </si>
  <si>
    <t xml:space="preserve">patients</t>
  </si>
  <si>
    <t xml:space="preserve">students</t>
  </si>
  <si>
    <t xml:space="preserve">units traded</t>
  </si>
  <si>
    <t xml:space="preserve">trips</t>
  </si>
  <si>
    <t xml:space="preserve">units / subscribers</t>
  </si>
  <si>
    <t xml:space="preserve">output units</t>
  </si>
  <si>
    <t xml:space="preserve">MWh</t>
  </si>
  <si>
    <t xml:space="preserve">u_sg</t>
  </si>
  <si>
    <t xml:space="preserve">₹ / unit labels</t>
  </si>
  <si>
    <t xml:space="preserve">unit</t>
  </si>
  <si>
    <t xml:space="preserve">transaction</t>
  </si>
  <si>
    <t xml:space="preserve">cover</t>
  </si>
  <si>
    <t xml:space="preserve">room-night</t>
  </si>
  <si>
    <t xml:space="preserve">user</t>
  </si>
  <si>
    <t xml:space="preserve">patient</t>
  </si>
  <si>
    <t xml:space="preserve">student</t>
  </si>
  <si>
    <t xml:space="preserve">trip</t>
  </si>
  <si>
    <t xml:space="preserve">price</t>
  </si>
  <si>
    <t xml:space="preserve">Assumptions A10</t>
  </si>
  <si>
    <t xml:space="preserve">Average selling price / unit (Yr1)</t>
  </si>
  <si>
    <t xml:space="preserve">Ex-factory selling price / unit (Yr1)</t>
  </si>
  <si>
    <t xml:space="preserve">Average bill value / transaction (Yr1)</t>
  </si>
  <si>
    <t xml:space="preserve">Average order value / cover (Yr1)</t>
  </si>
  <si>
    <t xml:space="preserve">Average room tariff (ARR) / room-night (Yr1)</t>
  </si>
  <si>
    <t xml:space="preserve">ARPU / billed user per month (Yr1)</t>
  </si>
  <si>
    <t xml:space="preserve">Average revenue / patient (Yr1)</t>
  </si>
  <si>
    <t xml:space="preserve">Fee / student per month (Yr1)</t>
  </si>
  <si>
    <t xml:space="preserve">Realisation / unit traded (Yr1)</t>
  </si>
  <si>
    <t xml:space="preserve">Revenue / trip (Yr1)</t>
  </si>
  <si>
    <t xml:space="preserve">Average revenue / unit or subscriber (Yr1)</t>
  </si>
  <si>
    <t xml:space="preserve">Average realisation / unit sold (Yr1)</t>
  </si>
  <si>
    <t xml:space="preserve">Tariff realisation / MWh (Yr1)</t>
  </si>
  <si>
    <t xml:space="preserve">dm</t>
  </si>
  <si>
    <t xml:space="preserve">Assumptions A11</t>
  </si>
  <si>
    <t xml:space="preserve">Direct cost of goods / services per unit (Yr1)</t>
  </si>
  <si>
    <t xml:space="preserve">Direct material cost / unit (Yr1)</t>
  </si>
  <si>
    <t xml:space="preserve">Cost of goods sold / transaction (Yr1)</t>
  </si>
  <si>
    <t xml:space="preserve">Food &amp; beverage cost / cover (Yr1)</t>
  </si>
  <si>
    <t xml:space="preserve">Room consumables &amp; F&amp;B cost / room-night</t>
  </si>
  <si>
    <t xml:space="preserve">Hosting &amp; third-party cost / user (Yr1)</t>
  </si>
  <si>
    <t xml:space="preserve">Medicines &amp; consumables cost / patient (Yr1)</t>
  </si>
  <si>
    <t xml:space="preserve">Course material &amp; delivery cost / student (Yr1)</t>
  </si>
  <si>
    <t xml:space="preserve">Purchase cost / unit (Yr1)</t>
  </si>
  <si>
    <t xml:space="preserve">Fuel cost / trip (Yr1)</t>
  </si>
  <si>
    <t xml:space="preserve">Content &amp; licensing cost / unit (Yr1)</t>
  </si>
  <si>
    <t xml:space="preserve">Seed, feed &amp; input cost / unit (Yr1)</t>
  </si>
  <si>
    <t xml:space="preserve">Fuel / feedstock cost / MWh (Yr1)</t>
  </si>
  <si>
    <t xml:space="preserve">v2</t>
  </si>
  <si>
    <t xml:space="preserve">Assumptions A39</t>
  </si>
  <si>
    <t xml:space="preserve">Utilities &amp; energy / unit</t>
  </si>
  <si>
    <t xml:space="preserve">Power &amp; fuel / unit</t>
  </si>
  <si>
    <t xml:space="preserve">Store utilities / transaction</t>
  </si>
  <si>
    <t xml:space="preserve">Gas, power &amp; water / cover</t>
  </si>
  <si>
    <t xml:space="preserve">Power, water &amp; linen / room-night</t>
  </si>
  <si>
    <t xml:space="preserve">Cloud &amp; infrastructure / user</t>
  </si>
  <si>
    <t xml:space="preserve">Power, water &amp; medical gases / patient</t>
  </si>
  <si>
    <t xml:space="preserve">Power &amp; facilities / student</t>
  </si>
  <si>
    <t xml:space="preserve">Warehouse power &amp; handling / unit</t>
  </si>
  <si>
    <t xml:space="preserve">Tolls &amp; permits / trip</t>
  </si>
  <si>
    <t xml:space="preserve">Studio / delivery power / unit</t>
  </si>
  <si>
    <t xml:space="preserve">Irrigation, power &amp; fuel / unit</t>
  </si>
  <si>
    <t xml:space="preserve">Grid &amp; evacuation charges / MWh</t>
  </si>
  <si>
    <t xml:space="preserve">v3</t>
  </si>
  <si>
    <t xml:space="preserve">Assumptions A40</t>
  </si>
  <si>
    <t xml:space="preserve">Consumables &amp; supplies / unit</t>
  </si>
  <si>
    <t xml:space="preserve">Consumables &amp; stores / unit</t>
  </si>
  <si>
    <t xml:space="preserve">Payment gateway &amp; consumables / transaction</t>
  </si>
  <si>
    <t xml:space="preserve">Consumables &amp; disposables / cover</t>
  </si>
  <si>
    <t xml:space="preserve">Housekeeping supplies / room-night</t>
  </si>
  <si>
    <t xml:space="preserve">Support &amp; tooling / user</t>
  </si>
  <si>
    <t xml:space="preserve">Disposables &amp; lab reagents / patient</t>
  </si>
  <si>
    <t xml:space="preserve">Learning consumables / student</t>
  </si>
  <si>
    <t xml:space="preserve">Freight inward &amp; duties / unit</t>
  </si>
  <si>
    <t xml:space="preserve">Tyres, lubricants &amp; consumables / trip</t>
  </si>
  <si>
    <t xml:space="preserve">Production consumables / unit</t>
  </si>
  <si>
    <t xml:space="preserve">Fertiliser, medicines &amp; consumables / unit</t>
  </si>
  <si>
    <t xml:space="preserve">O&amp;M consumables / MWh</t>
  </si>
  <si>
    <t xml:space="preserve">v4</t>
  </si>
  <si>
    <t xml:space="preserve">Assumptions A41</t>
  </si>
  <si>
    <t xml:space="preserve">Packing &amp; delivery / unit</t>
  </si>
  <si>
    <t xml:space="preserve">Packing / unit</t>
  </si>
  <si>
    <t xml:space="preserve">Packaging &amp; delivery / transaction</t>
  </si>
  <si>
    <t xml:space="preserve">Packaging &amp; aggregator commission / cover</t>
  </si>
  <si>
    <t xml:space="preserve">OTA / distribution cost / room-night</t>
  </si>
  <si>
    <t xml:space="preserve">Payment gateway fees / user</t>
  </si>
  <si>
    <t xml:space="preserve">Sterilisation &amp; waste handling / patient</t>
  </si>
  <si>
    <t xml:space="preserve">Admissions &amp; marketing cost / student</t>
  </si>
  <si>
    <t xml:space="preserve">Packing &amp; documentation / unit</t>
  </si>
  <si>
    <t xml:space="preserve">Loading / handling / trip</t>
  </si>
  <si>
    <t xml:space="preserve">Distribution &amp; platform fees / unit</t>
  </si>
  <si>
    <t xml:space="preserve">Packing, grading &amp; transport / unit</t>
  </si>
  <si>
    <t xml:space="preserve">Wheeling &amp; scheduling charges / MWh</t>
  </si>
  <si>
    <t xml:space="preserve">labour</t>
  </si>
  <si>
    <t xml:space="preserve">Assumptions A42</t>
  </si>
  <si>
    <t xml:space="preserve">Direct labour (Year-1)</t>
  </si>
  <si>
    <t xml:space="preserve">Store &amp; fulfilment staff (Year-1)</t>
  </si>
  <si>
    <t xml:space="preserve">Kitchen &amp; service staff (Year-1)</t>
  </si>
  <si>
    <t xml:space="preserve">Front office, housekeeping &amp; F&amp;B staff (Year-1)</t>
  </si>
  <si>
    <t xml:space="preserve">Engineering &amp; support staff (Year-1)</t>
  </si>
  <si>
    <t xml:space="preserve">Clinical &amp; nursing staff (Year-1)</t>
  </si>
  <si>
    <t xml:space="preserve">Faculty &amp; instructors (Year-1)</t>
  </si>
  <si>
    <t xml:space="preserve">Warehouse &amp; logistics staff (Year-1)</t>
  </si>
  <si>
    <t xml:space="preserve">Drivers &amp; operations staff (Year-1)</t>
  </si>
  <si>
    <t xml:space="preserve">Production &amp; editorial staff (Year-1)</t>
  </si>
  <si>
    <t xml:space="preserve">Farm labour (Year-1)</t>
  </si>
  <si>
    <t xml:space="preserve">Plant O&amp;M staff (Year-1)</t>
  </si>
  <si>
    <t xml:space="preserve">bldg</t>
  </si>
  <si>
    <t xml:space="preserve">Project Cost, Depreciation</t>
  </si>
  <si>
    <t xml:space="preserve">Premises, building &amp; civil / fit-out</t>
  </si>
  <si>
    <t xml:space="preserve">Factory building &amp; civil works</t>
  </si>
  <si>
    <t xml:space="preserve">Store / warehouse build-out &amp; civil</t>
  </si>
  <si>
    <t xml:space="preserve">Premises fit-out &amp; civil works</t>
  </si>
  <si>
    <t xml:space="preserve">Hotel building &amp; civil / interiors</t>
  </si>
  <si>
    <t xml:space="preserve">Office fit-out &amp; civil</t>
  </si>
  <si>
    <t xml:space="preserve">Hospital / clinic building &amp; civil</t>
  </si>
  <si>
    <t xml:space="preserve">Campus / centre building &amp; fit-out</t>
  </si>
  <si>
    <t xml:space="preserve">Warehouse / office building &amp; civil</t>
  </si>
  <si>
    <t xml:space="preserve">Depot / yard &amp; civil works</t>
  </si>
  <si>
    <t xml:space="preserve">Studio / office build-out &amp; civil</t>
  </si>
  <si>
    <t xml:space="preserve">Sheds, storage &amp; farm civil works</t>
  </si>
  <si>
    <t xml:space="preserve">Site civil, foundations &amp; control room</t>
  </si>
  <si>
    <t xml:space="preserve">equip</t>
  </si>
  <si>
    <t xml:space="preserve">Equipment, machinery &amp; systems</t>
  </si>
  <si>
    <t xml:space="preserve">Plant &amp; machinery – main line &amp; ancillaries</t>
  </si>
  <si>
    <t xml:space="preserve">Fixtures, POS, racking &amp; IT systems</t>
  </si>
  <si>
    <t xml:space="preserve">Kitchen equipment, furniture &amp; POS</t>
  </si>
  <si>
    <t xml:space="preserve">Furniture, HVAC, kitchen &amp; FF&amp;E</t>
  </si>
  <si>
    <t xml:space="preserve">Servers, hardware &amp; IT infrastructure</t>
  </si>
  <si>
    <t xml:space="preserve">Medical equipment &amp; systems</t>
  </si>
  <si>
    <t xml:space="preserve">Labs, classroom equipment &amp; IT</t>
  </si>
  <si>
    <t xml:space="preserve">Handling equipment, racking &amp; IT</t>
  </si>
  <si>
    <t xml:space="preserve">Vehicles, fleet &amp; tracking systems</t>
  </si>
  <si>
    <t xml:space="preserve">Production &amp; broadcast equipment</t>
  </si>
  <si>
    <t xml:space="preserve">Farm machinery, irrigation &amp; equipment</t>
  </si>
  <si>
    <t xml:space="preserve">Solar modules / turbines / generation equipment</t>
  </si>
  <si>
    <t xml:space="preserve">inv1</t>
  </si>
  <si>
    <t xml:space="preserve">Working capital, Balance Sheet</t>
  </si>
  <si>
    <t xml:space="preserve">Raw-material / stock inventory</t>
  </si>
  <si>
    <t xml:space="preserve">Raw-material inventory</t>
  </si>
  <si>
    <t xml:space="preserve">Merchandise inventory</t>
  </si>
  <si>
    <t xml:space="preserve">Food &amp; beverage stock</t>
  </si>
  <si>
    <t xml:space="preserve">Consumables &amp; F&amp;B stock</t>
  </si>
  <si>
    <t xml:space="preserve">Hardware &amp; consumable stock</t>
  </si>
  <si>
    <t xml:space="preserve">Medicines &amp; consumables stock</t>
  </si>
  <si>
    <t xml:space="preserve">Course material stock</t>
  </si>
  <si>
    <t xml:space="preserve">Trading stock (goods for resale)</t>
  </si>
  <si>
    <t xml:space="preserve">Fuel, spares &amp; tyre stock</t>
  </si>
  <si>
    <t xml:space="preserve">Content &amp; consumables stock</t>
  </si>
  <si>
    <t xml:space="preserve">Seed, feed &amp; input stock</t>
  </si>
  <si>
    <t xml:space="preserve">Spares &amp; fuel stock</t>
  </si>
  <si>
    <t xml:space="preserve">inv2</t>
  </si>
  <si>
    <t xml:space="preserve">Finished goods / stock-in-trade</t>
  </si>
  <si>
    <t xml:space="preserve">Finished-goods inventory</t>
  </si>
  <si>
    <t xml:space="preserve">Packaging &amp; other stock</t>
  </si>
  <si>
    <t xml:space="preserve">Prepared / packaged stock</t>
  </si>
  <si>
    <t xml:space="preserve">Linen &amp; other stores</t>
  </si>
  <si>
    <t xml:space="preserve">Work-in-progress / other stock</t>
  </si>
  <si>
    <t xml:space="preserve">Lab reagents &amp; other stores</t>
  </si>
  <si>
    <t xml:space="preserve">Other stores</t>
  </si>
  <si>
    <t xml:space="preserve">Goods in transit / other stock</t>
  </si>
  <si>
    <t xml:space="preserve">Other stock</t>
  </si>
  <si>
    <t xml:space="preserve">Harvested produce / livestock stock</t>
  </si>
  <si>
    <t xml:space="preserve">cred</t>
  </si>
  <si>
    <t xml:space="preserve">Sundry creditors (suppliers)</t>
  </si>
  <si>
    <t xml:space="preserve">Sundry creditors (RM)</t>
  </si>
  <si>
    <t xml:space="preserve">Sundry creditors (vendors)</t>
  </si>
  <si>
    <t xml:space="preserve">Sundry creditors (fuel &amp; vendors)</t>
  </si>
  <si>
    <t xml:space="preserve">Sundry creditors (input suppliers)</t>
  </si>
  <si>
    <t xml:space="preserve">Sundry creditors (EPC &amp; vendors)</t>
  </si>
  <si>
    <t xml:space="preserve">costhead</t>
  </si>
  <si>
    <t xml:space="preserve">Profitability section head</t>
  </si>
  <si>
    <t xml:space="preserve">B.  VARIABLE / DIRECT COST</t>
  </si>
  <si>
    <t xml:space="preserve">B.  VARIABLE / FACTORY COST</t>
  </si>
  <si>
    <t xml:space="preserve">dm_cons</t>
  </si>
  <si>
    <t xml:space="preserve">Profitability / Working Capital</t>
  </si>
  <si>
    <t xml:space="preserve">Direct cost consumed</t>
  </si>
  <si>
    <t xml:space="preserve">Direct material consumed</t>
  </si>
  <si>
    <t xml:space="preserve">Cost of goods sold</t>
  </si>
  <si>
    <t xml:space="preserve">Food &amp; beverage cost</t>
  </si>
  <si>
    <t xml:space="preserve">Room consumables &amp; F&amp;B cost</t>
  </si>
  <si>
    <t xml:space="preserve">Hosting &amp; third-party cost</t>
  </si>
  <si>
    <t xml:space="preserve">Medicines &amp; consumables cost</t>
  </si>
  <si>
    <t xml:space="preserve">Course material &amp; delivery cost</t>
  </si>
  <si>
    <t xml:space="preserve">Cost of goods traded</t>
  </si>
  <si>
    <t xml:space="preserve">Fuel cost</t>
  </si>
  <si>
    <t xml:space="preserve">Content &amp; licensing cost</t>
  </si>
  <si>
    <t xml:space="preserve">Seed, feed &amp; input cost</t>
  </si>
  <si>
    <t xml:space="preserve">Fuel / feedstock cost</t>
  </si>
  <si>
    <t xml:space="preserve">v2s</t>
  </si>
  <si>
    <t xml:space="preserve">Profitability lines</t>
  </si>
  <si>
    <t xml:space="preserve">Utilities &amp; energy</t>
  </si>
  <si>
    <t xml:space="preserve">Power &amp; fuel</t>
  </si>
  <si>
    <t xml:space="preserve">Store utilities</t>
  </si>
  <si>
    <t xml:space="preserve">Gas, power &amp; water</t>
  </si>
  <si>
    <t xml:space="preserve">Power, water &amp; linen</t>
  </si>
  <si>
    <t xml:space="preserve">Cloud &amp; infrastructure</t>
  </si>
  <si>
    <t xml:space="preserve">Power, water &amp; medical gases</t>
  </si>
  <si>
    <t xml:space="preserve">Power &amp; facilities</t>
  </si>
  <si>
    <t xml:space="preserve">Warehouse power &amp; handling</t>
  </si>
  <si>
    <t xml:space="preserve">Tolls &amp; permits</t>
  </si>
  <si>
    <t xml:space="preserve">Studio &amp; delivery power</t>
  </si>
  <si>
    <t xml:space="preserve">Irrigation, power &amp; fuel</t>
  </si>
  <si>
    <t xml:space="preserve">Grid &amp; evacuation charges</t>
  </si>
  <si>
    <t xml:space="preserve">v34s</t>
  </si>
  <si>
    <t xml:space="preserve">Consumables, supplies &amp; packing</t>
  </si>
  <si>
    <t xml:space="preserve">Consumables &amp; packing</t>
  </si>
  <si>
    <t xml:space="preserve">Payment fees, packaging &amp; delivery</t>
  </si>
  <si>
    <t xml:space="preserve">Consumables &amp; packaging</t>
  </si>
  <si>
    <t xml:space="preserve">Housekeeping &amp; distribution cost</t>
  </si>
  <si>
    <t xml:space="preserve">Support, tooling &amp; gateway fees</t>
  </si>
  <si>
    <t xml:space="preserve">Disposables &amp; waste handling</t>
  </si>
  <si>
    <t xml:space="preserve">Learning consumables &amp; admissions cost</t>
  </si>
  <si>
    <t xml:space="preserve">Freight, duties &amp; packing</t>
  </si>
  <si>
    <t xml:space="preserve">Tyres, consumables &amp; handling</t>
  </si>
  <si>
    <t xml:space="preserve">Production consumables &amp; platform fees</t>
  </si>
  <si>
    <t xml:space="preserve">Fertiliser, medicines &amp; packing</t>
  </si>
  <si>
    <t xml:space="preserve">O&amp;M consumables &amp; scheduling charges</t>
  </si>
  <si>
    <t xml:space="preserve">pfix</t>
  </si>
  <si>
    <t xml:space="preserve">Fixed utility line</t>
  </si>
  <si>
    <t xml:space="preserve">Fixed utility / facility charges</t>
  </si>
  <si>
    <t xml:space="preserve">Power fixed / demand charges</t>
  </si>
  <si>
    <t xml:space="preserve">Fixed utility charges</t>
  </si>
  <si>
    <t xml:space="preserve">Fixed hosting &amp; facility charges</t>
  </si>
  <si>
    <t xml:space="preserve">Fixed depot &amp; facility charges</t>
  </si>
  <si>
    <t xml:space="preserve">Fixed grid / connection charges</t>
  </si>
  <si>
    <t xml:space="preserve">costprod</t>
  </si>
  <si>
    <t xml:space="preserve">Working Capital total</t>
  </si>
  <si>
    <t xml:space="preserve">COST OF OPERATIONS</t>
  </si>
  <si>
    <t xml:space="preserve">COST OF PRODUCTION</t>
  </si>
  <si>
    <t xml:space="preserve">COST OF DELIVERY</t>
  </si>
  <si>
    <t xml:space="preserve">COST OF GENERATION</t>
  </si>
  <si>
    <t xml:space="preserve">dm_short</t>
  </si>
  <si>
    <t xml:space="preserve">Break-even sensitivity</t>
  </si>
  <si>
    <t xml:space="preserve">Direct cost</t>
  </si>
  <si>
    <t xml:space="preserve">Raw-material cost</t>
  </si>
  <si>
    <t xml:space="preserve">Cost of goods</t>
  </si>
  <si>
    <t xml:space="preserve">Room &amp; F&amp;B cost</t>
  </si>
  <si>
    <t xml:space="preserve">Hosting &amp; delivery cost</t>
  </si>
  <si>
    <t xml:space="preserve">Course delivery cost</t>
  </si>
  <si>
    <t xml:space="preserve">Purchase cost</t>
  </si>
  <si>
    <t xml:space="preserve">Content cost</t>
  </si>
  <si>
    <t xml:space="preserve">Input cost</t>
  </si>
  <si>
    <t xml:space="preserve">inv1_days</t>
  </si>
  <si>
    <t xml:space="preserve">Assumptions label</t>
  </si>
  <si>
    <t xml:space="preserve">Raw-material / stock inventory  (days of consumption held)</t>
  </si>
  <si>
    <t xml:space="preserve">Raw-material inventory  (days of consumption held)</t>
  </si>
  <si>
    <t xml:space="preserve">Merchandise inventory  (days of consumption held)</t>
  </si>
  <si>
    <t xml:space="preserve">Food &amp; beverage stock  (days of consumption held)</t>
  </si>
  <si>
    <t xml:space="preserve">Consumables &amp; F&amp;B stock  (days of consumption held)</t>
  </si>
  <si>
    <t xml:space="preserve">Hardware &amp; consumable stock  (days of consumption held)</t>
  </si>
  <si>
    <t xml:space="preserve">Medicines &amp; consumables stock  (days of consumption held)</t>
  </si>
  <si>
    <t xml:space="preserve">Course material stock  (days of consumption held)</t>
  </si>
  <si>
    <t xml:space="preserve">Trading stock (goods for resale)  (days of consumption held)</t>
  </si>
  <si>
    <t xml:space="preserve">Fuel, spares &amp; tyre stock  (days of consumption held)</t>
  </si>
  <si>
    <t xml:space="preserve">Content &amp; consumables stock  (days of consumption held)</t>
  </si>
  <si>
    <t xml:space="preserve">Seed, feed &amp; input stock  (days of consumption held)</t>
  </si>
  <si>
    <t xml:space="preserve">Spares &amp; fuel stock  (days of consumption held)</t>
  </si>
  <si>
    <t xml:space="preserve">inv2_days</t>
  </si>
  <si>
    <t xml:space="preserve">Finished goods / stock-in-trade  (days of cost held)</t>
  </si>
  <si>
    <t xml:space="preserve">Finished-goods inventory  (days of cost held)</t>
  </si>
  <si>
    <t xml:space="preserve">Packaging &amp; other stock  (days of cost held)</t>
  </si>
  <si>
    <t xml:space="preserve">Prepared / packaged stock  (days of cost held)</t>
  </si>
  <si>
    <t xml:space="preserve">Linen &amp; other stores  (days of cost held)</t>
  </si>
  <si>
    <t xml:space="preserve">Work-in-progress / other stock  (days of cost held)</t>
  </si>
  <si>
    <t xml:space="preserve">Lab reagents &amp; other stores  (days of cost held)</t>
  </si>
  <si>
    <t xml:space="preserve">Other stores  (days of cost held)</t>
  </si>
  <si>
    <t xml:space="preserve">Goods in transit / other stock  (days of cost held)</t>
  </si>
  <si>
    <t xml:space="preserve">Other stock  (days of cost held)</t>
  </si>
  <si>
    <t xml:space="preserve">Harvested produce / livestock stock  (days of cost held)</t>
  </si>
  <si>
    <t xml:space="preserve">dep_bldg</t>
  </si>
  <si>
    <t xml:space="preserve">Premises, building &amp; civil / fit-out depreciation (SLM)</t>
  </si>
  <si>
    <t xml:space="preserve">Factory building &amp; civil works depreciation (SLM)</t>
  </si>
  <si>
    <t xml:space="preserve">Store / warehouse build-out &amp; civil depreciation (SLM)</t>
  </si>
  <si>
    <t xml:space="preserve">Premises fit-out &amp; civil works depreciation (SLM)</t>
  </si>
  <si>
    <t xml:space="preserve">Hotel building &amp; civil / interiors depreciation (SLM)</t>
  </si>
  <si>
    <t xml:space="preserve">Office fit-out &amp; civil depreciation (SLM)</t>
  </si>
  <si>
    <t xml:space="preserve">Hospital / clinic building &amp; civil depreciation (SLM)</t>
  </si>
  <si>
    <t xml:space="preserve">Campus / centre building &amp; fit-out depreciation (SLM)</t>
  </si>
  <si>
    <t xml:space="preserve">Warehouse / office building &amp; civil depreciation (SLM)</t>
  </si>
  <si>
    <t xml:space="preserve">Depot / yard &amp; civil works depreciation (SLM)</t>
  </si>
  <si>
    <t xml:space="preserve">Studio / office build-out &amp; civil depreciation (SLM)</t>
  </si>
  <si>
    <t xml:space="preserve">Sheds, storage &amp; farm civil works depreciation (SLM)</t>
  </si>
  <si>
    <t xml:space="preserve">Site civil, foundations &amp; control room depreciation (SLM)</t>
  </si>
  <si>
    <t xml:space="preserve">dep_equip</t>
  </si>
  <si>
    <t xml:space="preserve">Equipment, machinery &amp; systems depreciation (SLM)</t>
  </si>
  <si>
    <t xml:space="preserve">Plant &amp; machinery – main line &amp; ancillaries depreciation (SLM)</t>
  </si>
  <si>
    <t xml:space="preserve">Fixtures, POS, racking &amp; IT systems depreciation (SLM)</t>
  </si>
  <si>
    <t xml:space="preserve">Kitchen equipment, furniture &amp; POS depreciation (SLM)</t>
  </si>
  <si>
    <t xml:space="preserve">Furniture, HVAC, kitchen &amp; FF&amp;E depreciation (SLM)</t>
  </si>
  <si>
    <t xml:space="preserve">Servers, hardware &amp; IT infrastructure depreciation (SLM)</t>
  </si>
  <si>
    <t xml:space="preserve">Medical equipment &amp; systems depreciation (SLM)</t>
  </si>
  <si>
    <t xml:space="preserve">Labs, classroom equipment &amp; IT depreciation (SLM)</t>
  </si>
  <si>
    <t xml:space="preserve">Handling equipment, racking &amp; IT depreciation (SLM)</t>
  </si>
  <si>
    <t xml:space="preserve">Vehicles, fleet &amp; tracking systems depreciation (SLM)</t>
  </si>
  <si>
    <t xml:space="preserve">Production &amp; broadcast equipment depreciation (SLM)</t>
  </si>
  <si>
    <t xml:space="preserve">Farm machinery, irrigation &amp; equipment depreciation (SLM)</t>
  </si>
  <si>
    <t xml:space="preserve">Solar modules / turbines / generation equipment depreciation (SLM)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</si>
</sst>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\$#,##0"/>
    <numFmt numFmtId="166" formatCode="0.00\x"/>
    <numFmt numFmtId="167" formatCode="#,##0;\(#,##0\);\-"/>
    <numFmt numFmtId="168" formatCode="#,##0"/>
    <numFmt numFmtId="169" formatCode="0"/>
    <numFmt numFmtId="170" formatCode="\₹#,##0.00"/>
    <numFmt numFmtId="171" formatCode="0.0%"/>
    <numFmt numFmtId="172" formatCode="#,##0.00;\(#,##0.00\);\-"/>
    <numFmt numFmtId="173" formatCode="0.00%"/>
    <numFmt numFmtId="174" formatCode="0&quot; days&quot;"/>
    <numFmt numFmtId="175" formatCode="0.0%;\(0.0%\);\-"/>
    <numFmt numFmtId="176" formatCode="0.00%;\(0.00%\);\-"/>
    <numFmt numFmtId="177" formatCode="mmm\-yy"/>
    <numFmt numFmtId="178" formatCode="#,##0.0;\(#,##0.0\);\-"/>
    <numFmt numFmtId="179" formatCode="0&quot; d&quot;"/>
  </numFmts>
  <fonts count="4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Calibri"/>
      <family val="2"/>
      <charset val="1"/>
    </font>
    <font>
      <b val="true"/>
      <sz val="15"/>
      <color rgb="FFC9A227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2"/>
      <color rgb="FFFFFFFF"/>
      <name val="Calibri"/>
      <family val="2"/>
      <charset val="1"/>
    </font>
    <font>
      <b val="true"/>
      <sz val="10"/>
      <color rgb="FF1F3864"/>
      <name val="Calibri"/>
      <family val="2"/>
      <charset val="1"/>
    </font>
    <font>
      <sz val="10"/>
      <color rgb="FF000000"/>
      <name val="Calibri"/>
      <family val="2"/>
      <charset val="1"/>
    </font>
    <font>
      <sz val="8.5"/>
      <color rgb="FF595959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9"/>
      <color rgb="FF595959"/>
      <name val="Calibri"/>
      <family val="2"/>
      <charset val="1"/>
    </font>
    <font>
      <sz val="10"/>
      <color rgb="FF1F3864"/>
      <name val="Calibri"/>
      <family val="2"/>
      <charset val="1"/>
    </font>
    <font>
      <b val="true"/>
      <sz val="9"/>
      <color rgb="FFFFFFFF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8"/>
      <color rgb="FF595959"/>
      <name val="Calibri"/>
      <family val="2"/>
      <charset val="1"/>
    </font>
    <font>
      <sz val="9"/>
      <color rgb="FF404040"/>
      <name val="Calibri"/>
      <family val="2"/>
      <charset val="1"/>
    </font>
    <font>
      <sz val="9"/>
      <color rgb="FF595959"/>
      <name val="Calibri"/>
      <family val="2"/>
      <charset val="1"/>
    </font>
    <font>
      <b val="true"/>
      <sz val="10"/>
      <color rgb="FF0563C1"/>
      <name val="Calibri"/>
      <family val="2"/>
      <charset val="1"/>
    </font>
    <font>
      <sz val="9"/>
      <color rgb="FF000000"/>
      <name val="Calibri"/>
      <family val="2"/>
      <charset val="1"/>
    </font>
    <font>
      <i val="true"/>
      <sz val="9"/>
      <color rgb="FF0563C1"/>
      <name val="Calibri"/>
      <family val="2"/>
      <charset val="1"/>
    </font>
    <font>
      <b val="true"/>
      <sz val="13"/>
      <color rgb="FFFFFFFF"/>
      <name val="Calibri"/>
      <family val="2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FF"/>
      <name val="Calibri"/>
      <family val="2"/>
      <charset val="1"/>
    </font>
    <font>
      <sz val="10"/>
      <color rgb="FF0000FF"/>
      <name val="Calibri"/>
      <family val="2"/>
      <charset val="1"/>
    </font>
    <font>
      <i val="true"/>
      <sz val="8.5"/>
      <color rgb="FF595959"/>
      <name val="Calibri"/>
      <family val="2"/>
      <charset val="1"/>
    </font>
    <font>
      <sz val="9"/>
      <color rgb="FF1F3864"/>
      <name val="Calibri"/>
      <family val="2"/>
      <charset val="1"/>
    </font>
    <font>
      <i val="true"/>
      <sz val="8.5"/>
      <color rgb="FF0563C1"/>
      <name val="Calibri"/>
      <family val="2"/>
      <charset val="1"/>
    </font>
    <font>
      <u val="single"/>
      <sz val="9"/>
      <color rgb="FF0563C1"/>
      <name val="Arial"/>
      <family val="0"/>
      <charset val="1"/>
    </font>
    <font>
      <sz val="10"/>
      <color rgb="FF008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8.5"/>
      <color rgb="FFFFFFFF"/>
      <name val="Calibri"/>
      <family val="2"/>
      <charset val="1"/>
    </font>
    <font>
      <sz val="9"/>
      <color rgb="FF008000"/>
      <name val="Calibri"/>
      <family val="2"/>
      <charset val="1"/>
    </font>
    <font>
      <b val="true"/>
      <sz val="9"/>
      <color rgb="FF1F3864"/>
      <name val="Calibri"/>
      <family val="2"/>
      <charset val="1"/>
    </font>
    <font>
      <b val="true"/>
      <sz val="9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b val="true"/>
      <sz val="8.5"/>
      <color rgb="FF1F3864"/>
      <name val="Calibri"/>
      <family val="2"/>
      <charset val="1"/>
    </font>
    <font>
      <sz val="8"/>
      <color rgb="FF595959"/>
      <name val="Calibri"/>
      <family val="2"/>
      <charset val="1"/>
    </font>
    <font>
      <b val="true"/>
      <sz val="9.5"/>
      <color rgb="FF1F3864"/>
      <name val="Calibri"/>
      <family val="2"/>
      <charset val="1"/>
    </font>
    <font>
      <sz val="9.5"/>
      <color rgb="FF000000"/>
      <name val="Calibri"/>
      <family val="2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sz val="9"/>
      <color rgb="FF7F7F7F"/>
      <name val="Arial"/>
      <family val="0"/>
      <charset val="1"/>
    </font>
    <font>
      <sz val="9"/>
      <color rgb="FF0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496"/>
        <bgColor rgb="FF1F3864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EEF3FB"/>
      </patternFill>
    </fill>
    <fill>
      <patternFill patternType="solid">
        <fgColor rgb="FFEEF3FB"/>
        <bgColor rgb="FFE2EFDA"/>
      </patternFill>
    </fill>
    <fill>
      <patternFill patternType="solid">
        <fgColor rgb="FF8EAADB"/>
        <bgColor rgb="FF969696"/>
      </patternFill>
    </fill>
    <fill>
      <patternFill patternType="solid">
        <fgColor rgb="FFE2EFDA"/>
        <bgColor rgb="FFEEF3FB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0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2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34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38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3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3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9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7F7F7F"/>
      <rgbColor rgb="FF8EAADB"/>
      <rgbColor rgb="FF993366"/>
      <rgbColor rgb="FFFFF2CC"/>
      <rgbColor rgb="FFEEF3FB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../../../C:/Users/Foxin/Downloads/cma.xlsx" TargetMode="External"/><Relationship Id="rId2" Type="http://schemas.openxmlformats.org/officeDocument/2006/relationships/hyperlink" Target="../../../C:/Users/Foxin/Downloads/cma.xlsx" TargetMode="External"/><Relationship Id="rId3" Type="http://schemas.openxmlformats.org/officeDocument/2006/relationships/hyperlink" Target="../../../C:/Users/Foxin/Downloads/cma.xlsx" TargetMode="External"/><Relationship Id="rId4" Type="http://schemas.openxmlformats.org/officeDocument/2006/relationships/hyperlink" Target="../../../C:/Users/Foxin/Downloads/cma.xlsx" TargetMode="External"/><Relationship Id="rId5" Type="http://schemas.openxmlformats.org/officeDocument/2006/relationships/hyperlink" Target="../../../C:/Users/Foxin/Downloads/cma.xlsx" TargetMode="External"/><Relationship Id="rId6" Type="http://schemas.openxmlformats.org/officeDocument/2006/relationships/hyperlink" Target="../../../C:/Users/Foxin/Downloads/cma.xlsx" TargetMode="External"/><Relationship Id="rId7" Type="http://schemas.openxmlformats.org/officeDocument/2006/relationships/hyperlink" Target="../../../C:/Users/Foxin/Downloads/cma.xlsx" TargetMode="External"/><Relationship Id="rId8" Type="http://schemas.openxmlformats.org/officeDocument/2006/relationships/hyperlink" Target="../../../C:/Users/Foxin/Downloads/cma.xlsx" TargetMode="External"/><Relationship Id="rId9" Type="http://schemas.openxmlformats.org/officeDocument/2006/relationships/hyperlink" Target="../../../C:/Users/Foxin/Downloads/cma.xlsx" TargetMode="External"/><Relationship Id="rId10" Type="http://schemas.openxmlformats.org/officeDocument/2006/relationships/hyperlink" Target="../../../C:/Users/Foxin/Downloads/cma.xlsx" TargetMode="External"/><Relationship Id="rId11" Type="http://schemas.openxmlformats.org/officeDocument/2006/relationships/hyperlink" Target="../../../C:/Users/Foxin/Downloads/cma.xlsx" TargetMode="External"/><Relationship Id="rId12" Type="http://schemas.openxmlformats.org/officeDocument/2006/relationships/hyperlink" Target="../../../C:/Users/Foxin/Downloads/cma.xlsx" TargetMode="External"/><Relationship Id="rId13" Type="http://schemas.openxmlformats.org/officeDocument/2006/relationships/hyperlink" Target="../../../C:/Users/Foxin/Downloads/cma.xlsx" TargetMode="External"/><Relationship Id="rId14" Type="http://schemas.openxmlformats.org/officeDocument/2006/relationships/hyperlink" Target="../../../C:/Users/Foxin/Downloads/cma.xlsx" TargetMode="External"/><Relationship Id="rId15" Type="http://schemas.openxmlformats.org/officeDocument/2006/relationships/hyperlink" Target="../../../C:/Users/Foxin/Downloads/cma.xlsx" TargetMode="External"/><Relationship Id="rId16" Type="http://schemas.openxmlformats.org/officeDocument/2006/relationships/hyperlink" Target="../../../C:/Users/Foxin/Downloads/cma.xlsx" TargetMode="External"/><Relationship Id="rId17" Type="http://schemas.openxmlformats.org/officeDocument/2006/relationships/hyperlink" Target="../../../C:/Users/Foxin/Downloads/cma.xlsx" TargetMode="External"/><Relationship Id="rId18" Type="http://schemas.openxmlformats.org/officeDocument/2006/relationships/hyperlink" Target="../../../C:/Users/Foxin/Downloads/cma.xlsx" TargetMode="External"/><Relationship Id="rId19" Type="http://schemas.openxmlformats.org/officeDocument/2006/relationships/hyperlink" Target="../../../C:/Users/Foxin/Downloads/cma.xlsx" TargetMode="External"/><Relationship Id="rId20" Type="http://schemas.openxmlformats.org/officeDocument/2006/relationships/hyperlink" Target="../../../C:/Users/Foxin/Downloads/cma.xlsx" TargetMode="External"/><Relationship Id="rId21" Type="http://schemas.openxmlformats.org/officeDocument/2006/relationships/hyperlink" Target="../../../C:/Users/Foxin/Downloads/cma.xlsx" TargetMode="External"/><Relationship Id="rId22" Type="http://schemas.openxmlformats.org/officeDocument/2006/relationships/hyperlink" Target="../../../C:/Users/Foxin/Downloads/cma.xlsx" TargetMode="External"/><Relationship Id="rId23" Type="http://schemas.openxmlformats.org/officeDocument/2006/relationships/hyperlink" Target="../../../C:/Users/Foxin/Downloads/cma.xlsx" TargetMode="External"/><Relationship Id="rId24" Type="http://schemas.openxmlformats.org/officeDocument/2006/relationships/hyperlink" Target="../../../C:/Users/Foxin/Downloads/cma.xlsx" TargetMode="External"/><Relationship Id="rId25" Type="http://schemas.openxmlformats.org/officeDocument/2006/relationships/hyperlink" Target="../../../C:/Users/Foxin/Downloads/cma.xlsx" TargetMode="External"/><Relationship Id="rId26" Type="http://schemas.openxmlformats.org/officeDocument/2006/relationships/hyperlink" Target="../../../C:/Users/Foxin/Downloads/cma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bankofbaroda.bank.in/interest-rate-and-service-charges/msme-loans-interest-rates" TargetMode="External"/><Relationship Id="rId2" Type="http://schemas.openxmlformats.org/officeDocument/2006/relationships/hyperlink" Target="https://www.bankbazaar.com/personal-loan/msme-loan.html" TargetMode="External"/><Relationship Id="rId3" Type="http://schemas.openxmlformats.org/officeDocument/2006/relationships/hyperlink" Target="https://incometaxindia.gov.in/" TargetMode="External"/><Relationship Id="rId4" Type="http://schemas.openxmlformats.org/officeDocument/2006/relationships/hyperlink" Target="https://cbic-gst.gov.in/" TargetMode="External"/><Relationship Id="rId5" Type="http://schemas.openxmlformats.org/officeDocument/2006/relationships/hyperlink" Target="https://bankofbaroda.bank.in/interest-rate-and-service-charges/msme-loans-interest-rates" TargetMode="External"/><Relationship Id="rId6" Type="http://schemas.openxmlformats.org/officeDocument/2006/relationships/hyperlink" Target="https://sbi.bank.in/web/interest-rates/interest-rates/sme-segment" TargetMode="External"/><Relationship Id="rId7" Type="http://schemas.openxmlformats.org/officeDocument/2006/relationships/hyperlink" Target="https://www.bankbazaar.com/personal-loan/msme-loan.html" TargetMode="External"/><Relationship Id="rId8" Type="http://schemas.openxmlformats.org/officeDocument/2006/relationships/hyperlink" Target="https://incometaxindia.gov.in/" TargetMode="External"/><Relationship Id="rId9" Type="http://schemas.openxmlformats.org/officeDocument/2006/relationships/hyperlink" Target="https://cbic-gst.gov.i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7"/>
  <sheetViews>
    <sheetView showFormulas="false" showGridLines="fals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10" min="2" style="1" width="12"/>
  </cols>
  <sheetData>
    <row r="2" customFormat="false" ht="15" hidden="false" customHeight="true" outlineLevel="0" collapsed="false">
      <c r="B2" s="2"/>
      <c r="C2" s="2"/>
      <c r="D2" s="2"/>
      <c r="E2" s="2"/>
      <c r="F2" s="2"/>
      <c r="G2" s="2"/>
      <c r="H2" s="2"/>
      <c r="I2" s="2"/>
    </row>
    <row r="3" customFormat="false" ht="15" hidden="false" customHeight="true" outlineLevel="0" collapsed="false">
      <c r="B3" s="2"/>
      <c r="C3" s="2"/>
      <c r="D3" s="2"/>
      <c r="E3" s="2"/>
      <c r="F3" s="2"/>
      <c r="G3" s="2"/>
      <c r="H3" s="2"/>
      <c r="I3" s="2"/>
    </row>
    <row r="4" customFormat="false" ht="39.75" hidden="false" customHeight="true" outlineLevel="0" collapsed="false">
      <c r="B4" s="3" t="s">
        <v>0</v>
      </c>
      <c r="C4" s="3"/>
      <c r="D4" s="3"/>
      <c r="E4" s="3"/>
      <c r="F4" s="3"/>
      <c r="G4" s="3"/>
      <c r="H4" s="3"/>
      <c r="I4" s="3"/>
    </row>
    <row r="5" customFormat="false" ht="15" hidden="false" customHeight="true" outlineLevel="0" collapsed="false">
      <c r="B5" s="3"/>
      <c r="C5" s="3"/>
      <c r="D5" s="3"/>
      <c r="E5" s="3"/>
      <c r="F5" s="3"/>
      <c r="G5" s="3"/>
      <c r="H5" s="3"/>
      <c r="I5" s="3"/>
    </row>
    <row r="6" customFormat="false" ht="15" hidden="false" customHeight="true" outlineLevel="0" collapsed="false">
      <c r="B6" s="3"/>
      <c r="C6" s="3"/>
      <c r="D6" s="3"/>
      <c r="E6" s="3"/>
      <c r="F6" s="3"/>
      <c r="G6" s="3"/>
      <c r="H6" s="3"/>
      <c r="I6" s="3"/>
    </row>
    <row r="7" customFormat="false" ht="15" hidden="false" customHeight="true" outlineLevel="0" collapsed="false">
      <c r="B7" s="3"/>
      <c r="C7" s="3"/>
      <c r="D7" s="3"/>
      <c r="E7" s="3"/>
      <c r="F7" s="3"/>
      <c r="G7" s="3"/>
      <c r="H7" s="3"/>
      <c r="I7" s="3"/>
    </row>
    <row r="8" customFormat="false" ht="15" hidden="false" customHeight="true" outlineLevel="0" collapsed="false">
      <c r="B8" s="3"/>
      <c r="C8" s="3"/>
      <c r="D8" s="3"/>
      <c r="E8" s="3"/>
      <c r="F8" s="3"/>
      <c r="G8" s="3"/>
      <c r="H8" s="3"/>
      <c r="I8" s="3"/>
    </row>
    <row r="9" customFormat="false" ht="15" hidden="false" customHeight="true" outlineLevel="0" collapsed="false">
      <c r="B9" s="4" t="str">
        <f aca="false">"Proposed "&amp;Assumptions!$B$3&amp;" Project"</f>
        <v>Proposed General Business Project</v>
      </c>
      <c r="C9" s="4"/>
      <c r="D9" s="4"/>
      <c r="E9" s="4"/>
      <c r="F9" s="4"/>
      <c r="G9" s="4"/>
      <c r="H9" s="4"/>
      <c r="I9" s="4"/>
    </row>
    <row r="10" customFormat="false" ht="15" hidden="false" customHeight="true" outlineLevel="0" collapsed="false"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B11" s="5" t="str">
        <f aca="false">"Installed Capacity:  __________  "&amp;IFERROR(INDEX('Industry Labels'!$C$6:$Z$6,MATCH(Assumptions!$B$3,'Industry Labels'!$C$4:$Z$4,0)),"units/month")&amp;"        |        Target Market:  __________"</f>
        <v>Installed Capacity:  __________  units/month        |        Target Market:  __________</v>
      </c>
      <c r="C11" s="5"/>
      <c r="D11" s="5"/>
      <c r="E11" s="5"/>
      <c r="F11" s="5"/>
      <c r="G11" s="5"/>
      <c r="H11" s="5"/>
      <c r="I11" s="5"/>
    </row>
    <row r="13" customFormat="false" ht="15" hidden="false" customHeight="true" outlineLevel="0" collapsed="false">
      <c r="B13" s="6" t="s">
        <v>1</v>
      </c>
      <c r="C13" s="6"/>
      <c r="D13" s="6"/>
      <c r="E13" s="6"/>
      <c r="F13" s="6"/>
      <c r="G13" s="6"/>
      <c r="H13" s="6"/>
      <c r="I13" s="6"/>
    </row>
    <row r="14" customFormat="false" ht="15" hidden="false" customHeight="true" outlineLevel="0" collapsed="false">
      <c r="B14" s="7" t="s">
        <v>2</v>
      </c>
      <c r="C14" s="7"/>
      <c r="D14" s="8" t="s">
        <v>3</v>
      </c>
      <c r="E14" s="8"/>
      <c r="F14" s="8"/>
      <c r="G14" s="8"/>
      <c r="H14" s="8"/>
      <c r="I14" s="8"/>
    </row>
    <row r="15" customFormat="false" ht="15" hidden="false" customHeight="true" outlineLevel="0" collapsed="false">
      <c r="B15" s="9" t="s">
        <v>4</v>
      </c>
      <c r="C15" s="9"/>
      <c r="D15" s="10"/>
      <c r="E15" s="10"/>
      <c r="F15" s="10"/>
      <c r="G15" s="10"/>
      <c r="H15" s="10"/>
      <c r="I15" s="10"/>
    </row>
    <row r="16" customFormat="false" ht="15" hidden="false" customHeight="true" outlineLevel="0" collapsed="false">
      <c r="B16" s="7" t="s">
        <v>5</v>
      </c>
      <c r="C16" s="7"/>
      <c r="D16" s="8" t="s">
        <v>6</v>
      </c>
      <c r="E16" s="8"/>
      <c r="F16" s="8"/>
      <c r="G16" s="8"/>
      <c r="H16" s="8"/>
      <c r="I16" s="8"/>
    </row>
    <row r="17" customFormat="false" ht="15" hidden="false" customHeight="true" outlineLevel="0" collapsed="false">
      <c r="B17" s="9" t="s">
        <v>7</v>
      </c>
      <c r="C17" s="9"/>
      <c r="D17" s="10" t="s">
        <v>8</v>
      </c>
      <c r="E17" s="10"/>
      <c r="F17" s="10"/>
      <c r="G17" s="10"/>
      <c r="H17" s="10"/>
      <c r="I17" s="10"/>
    </row>
    <row r="18" customFormat="false" ht="15" hidden="false" customHeight="true" outlineLevel="0" collapsed="false">
      <c r="B18" s="7" t="s">
        <v>9</v>
      </c>
      <c r="C18" s="7"/>
      <c r="D18" s="8"/>
      <c r="E18" s="8"/>
      <c r="F18" s="8"/>
      <c r="G18" s="8"/>
      <c r="H18" s="8"/>
      <c r="I18" s="8"/>
    </row>
    <row r="19" customFormat="false" ht="15" hidden="false" customHeight="true" outlineLevel="0" collapsed="false">
      <c r="B19" s="9" t="s">
        <v>10</v>
      </c>
      <c r="C19" s="9"/>
      <c r="D19" s="10"/>
      <c r="E19" s="10"/>
      <c r="F19" s="10"/>
      <c r="G19" s="10"/>
      <c r="H19" s="10"/>
      <c r="I19" s="10"/>
    </row>
    <row r="20" customFormat="false" ht="15" hidden="false" customHeight="true" outlineLevel="0" collapsed="false">
      <c r="B20" s="7" t="s">
        <v>11</v>
      </c>
      <c r="C20" s="7"/>
      <c r="D20" s="8" t="s">
        <v>12</v>
      </c>
      <c r="E20" s="8"/>
      <c r="F20" s="8"/>
      <c r="G20" s="8"/>
      <c r="H20" s="8"/>
      <c r="I20" s="8"/>
    </row>
    <row r="21" customFormat="false" ht="15" hidden="false" customHeight="true" outlineLevel="0" collapsed="false">
      <c r="B21" s="9" t="s">
        <v>13</v>
      </c>
      <c r="C21" s="9"/>
      <c r="D21" s="10" t="str">
        <f aca="false">"April "&amp;IF(ISNUMBER(Assumptions!$B$6),Assumptions!$B$6,2026)&amp;" (FY "&amp;IF(ISNUMBER(Assumptions!$B$6),Assumptions!$B$6,2026)&amp;"-"&amp;RIGHT((IF(ISNUMBER(Assumptions!$B$6),Assumptions!$B$6,2026)+1),2)&amp;" to FY "&amp;(IF(ISNUMBER(Assumptions!$B$6),Assumptions!$B$6,2026)+4)&amp;"-"&amp;RIGHT((IF(ISNUMBER(Assumptions!$B$6),Assumptions!$B$6,2026)+5),2)&amp;")"</f>
        <v>April 2026 (FY 2026-27 to FY 2030-31)</v>
      </c>
      <c r="E21" s="10"/>
      <c r="F21" s="10"/>
      <c r="G21" s="10"/>
      <c r="H21" s="10"/>
      <c r="I21" s="10"/>
    </row>
    <row r="22" customFormat="false" ht="15" hidden="false" customHeight="true" outlineLevel="0" collapsed="false">
      <c r="B22" s="7" t="s">
        <v>14</v>
      </c>
      <c r="C22" s="7"/>
      <c r="D22" s="8" t="s">
        <v>15</v>
      </c>
      <c r="E22" s="8"/>
      <c r="F22" s="8"/>
      <c r="G22" s="8"/>
      <c r="H22" s="8"/>
      <c r="I22" s="8"/>
    </row>
    <row r="23" customFormat="false" ht="15" hidden="false" customHeight="true" outlineLevel="0" collapsed="false">
      <c r="B23" s="9" t="s">
        <v>16</v>
      </c>
      <c r="C23" s="9"/>
      <c r="D23" s="10"/>
      <c r="E23" s="10"/>
      <c r="F23" s="10"/>
      <c r="G23" s="10"/>
      <c r="H23" s="10"/>
      <c r="I23" s="10"/>
    </row>
    <row r="25" customFormat="false" ht="15" hidden="false" customHeight="true" outlineLevel="0" collapsed="false">
      <c r="B25" s="11" t="s">
        <v>17</v>
      </c>
      <c r="C25" s="11"/>
      <c r="D25" s="11"/>
      <c r="E25" s="11"/>
      <c r="F25" s="11"/>
      <c r="G25" s="11"/>
      <c r="H25" s="11"/>
      <c r="I25" s="11"/>
    </row>
    <row r="26" customFormat="false" ht="15" hidden="false" customHeight="true" outlineLevel="0" collapsed="false">
      <c r="B26" s="11"/>
      <c r="C26" s="11"/>
      <c r="D26" s="11"/>
      <c r="E26" s="11"/>
      <c r="F26" s="11"/>
      <c r="G26" s="11"/>
      <c r="H26" s="11"/>
      <c r="I26" s="11"/>
    </row>
    <row r="27" customFormat="false" ht="15" hidden="false" customHeight="true" outlineLevel="0" collapsed="false">
      <c r="B27" s="11"/>
      <c r="C27" s="11"/>
      <c r="D27" s="11"/>
      <c r="E27" s="11"/>
      <c r="F27" s="11"/>
      <c r="G27" s="11"/>
      <c r="H27" s="11"/>
      <c r="I27" s="11"/>
    </row>
  </sheetData>
  <mergeCells count="26">
    <mergeCell ref="B2:I3"/>
    <mergeCell ref="B4:I8"/>
    <mergeCell ref="B9:I10"/>
    <mergeCell ref="B11:I11"/>
    <mergeCell ref="B13:I13"/>
    <mergeCell ref="B14:C14"/>
    <mergeCell ref="D14:I14"/>
    <mergeCell ref="B15:C15"/>
    <mergeCell ref="D15:I15"/>
    <mergeCell ref="B16:C16"/>
    <mergeCell ref="D16:I16"/>
    <mergeCell ref="B17:C17"/>
    <mergeCell ref="D17:I17"/>
    <mergeCell ref="B18:C18"/>
    <mergeCell ref="D18:I18"/>
    <mergeCell ref="B19:C19"/>
    <mergeCell ref="D19:I19"/>
    <mergeCell ref="B20:C20"/>
    <mergeCell ref="D20:I20"/>
    <mergeCell ref="B21:C21"/>
    <mergeCell ref="D21:I21"/>
    <mergeCell ref="B22:C22"/>
    <mergeCell ref="D22:I22"/>
    <mergeCell ref="B23:C23"/>
    <mergeCell ref="D23:I23"/>
    <mergeCell ref="B25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4"/>
    <col collapsed="false" customWidth="true" hidden="false" outlineLevel="0" max="4" min="4" style="1" width="34"/>
    <col collapsed="false" customWidth="true" hidden="false" outlineLevel="0" max="5" min="5" style="1" width="20"/>
  </cols>
  <sheetData>
    <row r="1" customFormat="false" ht="25.5" hidden="false" customHeight="true" outlineLevel="0" collapsed="false">
      <c r="A1" s="12" t="s">
        <v>18</v>
      </c>
      <c r="B1" s="12"/>
      <c r="C1" s="12"/>
      <c r="D1" s="12"/>
      <c r="E1" s="12"/>
    </row>
    <row r="2" customFormat="false" ht="25.5" hidden="false" customHeight="true" outlineLevel="0" collapsed="false">
      <c r="A2" s="13" t="s">
        <v>19</v>
      </c>
      <c r="B2" s="13"/>
      <c r="C2" s="13"/>
      <c r="D2" s="13"/>
      <c r="E2" s="13"/>
    </row>
    <row r="4" customFormat="false" ht="19.5" hidden="false" customHeight="true" outlineLevel="0" collapsed="false">
      <c r="A4" s="14" t="s">
        <v>20</v>
      </c>
      <c r="B4" s="14"/>
      <c r="C4" s="14"/>
      <c r="D4" s="14"/>
      <c r="E4" s="14"/>
    </row>
    <row r="5" customFormat="false" ht="15" hidden="false" customHeight="true" outlineLevel="0" collapsed="false">
      <c r="A5" s="15" t="s">
        <v>21</v>
      </c>
      <c r="B5" s="15"/>
      <c r="C5" s="15"/>
      <c r="D5" s="15"/>
      <c r="E5" s="15"/>
    </row>
    <row r="6" customFormat="false" ht="15" hidden="false" customHeight="true" outlineLevel="0" collapsed="false">
      <c r="A6" s="15"/>
      <c r="B6" s="15"/>
      <c r="C6" s="15"/>
      <c r="D6" s="15"/>
      <c r="E6" s="15"/>
    </row>
    <row r="7" customFormat="false" ht="15" hidden="false" customHeight="true" outlineLevel="0" collapsed="false">
      <c r="A7" s="15"/>
      <c r="B7" s="15"/>
      <c r="C7" s="15"/>
      <c r="D7" s="15"/>
      <c r="E7" s="15"/>
    </row>
    <row r="8" customFormat="false" ht="15" hidden="false" customHeight="true" outlineLevel="0" collapsed="false">
      <c r="A8" s="15"/>
      <c r="B8" s="15"/>
      <c r="C8" s="15"/>
      <c r="D8" s="15"/>
      <c r="E8" s="15"/>
    </row>
    <row r="9" customFormat="false" ht="15" hidden="false" customHeight="true" outlineLevel="0" collapsed="false">
      <c r="A9" s="15"/>
      <c r="B9" s="15"/>
      <c r="C9" s="15"/>
      <c r="D9" s="15"/>
      <c r="E9" s="15"/>
    </row>
    <row r="10" customFormat="false" ht="27.75" hidden="false" customHeight="true" outlineLevel="0" collapsed="false">
      <c r="A10" s="16" t="str">
        <f aca="false">IFERROR("Base-case headline returns — Average DSCR (Yrs 1-5): "&amp;TEXT('Ratios &amp; DSCR'!C26,"0.00")&amp;"x   •   Year-5 EBITDA margin: "&amp;TEXT('Ratios &amp; DSCR'!G6,"0.0%")&amp;"   •   Year-5 return on net worth: "&amp;TEXT('Ratios &amp; DSCR'!G10,"0.0%")&amp;"   (populate once inputs are entered).","Base-case headline returns — enter inputs on the 'Assumptions' sheet to populate DSCR, EBITDA margin and RoNW.")</f>
        <v>Base-case headline returns — Average DSCR (Yrs 1-5): 0.00x   •   Year-5 EBITDA margin:    •   Year-5 return on net worth:    (populate once inputs are entered).</v>
      </c>
      <c r="B10" s="16"/>
      <c r="C10" s="16"/>
      <c r="D10" s="16"/>
      <c r="E10" s="16"/>
    </row>
    <row r="12" customFormat="false" ht="15.75" hidden="false" customHeight="true" outlineLevel="0" collapsed="false">
      <c r="A12" s="17" t="s">
        <v>22</v>
      </c>
      <c r="B12" s="17"/>
      <c r="C12" s="17"/>
      <c r="D12" s="17"/>
      <c r="E12" s="17"/>
    </row>
    <row r="13" customFormat="false" ht="19.5" hidden="false" customHeight="true" outlineLevel="0" collapsed="false">
      <c r="A13" s="18" t="s">
        <v>23</v>
      </c>
      <c r="B13" s="19" t="n">
        <f aca="false">IFERROR('Project Cost'!$C$14,"")</f>
        <v>0</v>
      </c>
      <c r="D13" s="18" t="s">
        <v>24</v>
      </c>
      <c r="E13" s="20" t="str">
        <f aca="false">IFERROR(Assumptions!$B$51/Assumptions!$B$52,"")</f>
        <v/>
      </c>
    </row>
    <row r="15" customFormat="false" ht="19.5" hidden="false" customHeight="true" outlineLevel="0" collapsed="false">
      <c r="A15" s="18" t="s">
        <v>25</v>
      </c>
      <c r="B15" s="19" t="n">
        <f aca="false">IFERROR('Profitability (Annual)'!$G$9,"")</f>
        <v>0</v>
      </c>
      <c r="D15" s="18" t="s">
        <v>26</v>
      </c>
      <c r="E15" s="20" t="n">
        <f aca="false">IFERROR('Ratios &amp; DSCR'!$C$26,"")</f>
        <v>0</v>
      </c>
    </row>
    <row r="17" customFormat="false" ht="21.75" hidden="false" customHeight="true" outlineLevel="0" collapsed="false">
      <c r="A17" s="21" t="s">
        <v>27</v>
      </c>
      <c r="B17" s="21"/>
      <c r="C17" s="21"/>
      <c r="D17" s="21"/>
      <c r="E17" s="21"/>
    </row>
    <row r="19" customFormat="false" ht="19.5" hidden="false" customHeight="true" outlineLevel="0" collapsed="false">
      <c r="A19" s="14" t="s">
        <v>28</v>
      </c>
      <c r="B19" s="14"/>
      <c r="C19" s="14"/>
      <c r="D19" s="14"/>
      <c r="E19" s="14"/>
    </row>
    <row r="20" customFormat="false" ht="15" hidden="false" customHeight="true" outlineLevel="0" collapsed="false">
      <c r="A20" s="22" t="s">
        <v>29</v>
      </c>
      <c r="B20" s="22"/>
      <c r="C20" s="22"/>
      <c r="D20" s="22"/>
      <c r="E20" s="22"/>
    </row>
    <row r="21" customFormat="false" ht="30" hidden="false" customHeight="true" outlineLevel="0" collapsed="false">
      <c r="A21" s="23" t="s">
        <v>30</v>
      </c>
      <c r="B21" s="23"/>
      <c r="C21" s="23"/>
      <c r="D21" s="23"/>
      <c r="E21" s="23"/>
    </row>
    <row r="22" customFormat="false" ht="15" hidden="false" customHeight="true" outlineLevel="0" collapsed="false">
      <c r="A22" s="22" t="s">
        <v>31</v>
      </c>
      <c r="B22" s="22"/>
      <c r="C22" s="22"/>
      <c r="D22" s="22"/>
      <c r="E22" s="22"/>
    </row>
    <row r="23" customFormat="false" ht="30" hidden="false" customHeight="true" outlineLevel="0" collapsed="false">
      <c r="A23" s="23" t="s">
        <v>32</v>
      </c>
      <c r="B23" s="23"/>
      <c r="C23" s="23"/>
      <c r="D23" s="23"/>
      <c r="E23" s="23"/>
    </row>
    <row r="24" customFormat="false" ht="15" hidden="false" customHeight="true" outlineLevel="0" collapsed="false">
      <c r="A24" s="22" t="s">
        <v>33</v>
      </c>
      <c r="B24" s="22"/>
      <c r="C24" s="22"/>
      <c r="D24" s="22"/>
      <c r="E24" s="22"/>
    </row>
    <row r="25" customFormat="false" ht="30" hidden="false" customHeight="true" outlineLevel="0" collapsed="false">
      <c r="A25" s="23" t="s">
        <v>34</v>
      </c>
      <c r="B25" s="23"/>
      <c r="C25" s="23"/>
      <c r="D25" s="23"/>
      <c r="E25" s="23"/>
    </row>
    <row r="26" customFormat="false" ht="15" hidden="false" customHeight="true" outlineLevel="0" collapsed="false">
      <c r="A26" s="22" t="s">
        <v>35</v>
      </c>
      <c r="B26" s="22"/>
      <c r="C26" s="22"/>
      <c r="D26" s="22"/>
      <c r="E26" s="22"/>
    </row>
    <row r="27" customFormat="false" ht="30" hidden="false" customHeight="true" outlineLevel="0" collapsed="false">
      <c r="A27" s="23" t="s">
        <v>36</v>
      </c>
      <c r="B27" s="23"/>
      <c r="C27" s="23"/>
      <c r="D27" s="23"/>
      <c r="E27" s="23"/>
    </row>
    <row r="28" customFormat="false" ht="15" hidden="false" customHeight="true" outlineLevel="0" collapsed="false">
      <c r="A28" s="22" t="s">
        <v>37</v>
      </c>
      <c r="B28" s="22"/>
      <c r="C28" s="22"/>
      <c r="D28" s="22"/>
      <c r="E28" s="22"/>
    </row>
    <row r="29" customFormat="false" ht="30" hidden="false" customHeight="true" outlineLevel="0" collapsed="false">
      <c r="A29" s="23" t="s">
        <v>38</v>
      </c>
      <c r="B29" s="23"/>
      <c r="C29" s="23"/>
      <c r="D29" s="23"/>
      <c r="E29" s="23"/>
    </row>
    <row r="30" customFormat="false" ht="15" hidden="false" customHeight="true" outlineLevel="0" collapsed="false">
      <c r="A30" s="22" t="s">
        <v>39</v>
      </c>
      <c r="B30" s="22"/>
      <c r="C30" s="22"/>
      <c r="D30" s="22"/>
      <c r="E30" s="22"/>
    </row>
    <row r="31" customFormat="false" ht="30" hidden="false" customHeight="true" outlineLevel="0" collapsed="false">
      <c r="A31" s="23" t="s">
        <v>40</v>
      </c>
      <c r="B31" s="23"/>
      <c r="C31" s="23"/>
      <c r="D31" s="23"/>
      <c r="E31" s="23"/>
    </row>
    <row r="32" customFormat="false" ht="15" hidden="false" customHeight="true" outlineLevel="0" collapsed="false">
      <c r="A32" s="22" t="s">
        <v>41</v>
      </c>
      <c r="B32" s="22"/>
      <c r="C32" s="22"/>
      <c r="D32" s="22"/>
      <c r="E32" s="22"/>
    </row>
    <row r="33" customFormat="false" ht="30" hidden="false" customHeight="true" outlineLevel="0" collapsed="false">
      <c r="A33" s="23" t="s">
        <v>42</v>
      </c>
      <c r="B33" s="23"/>
      <c r="C33" s="23"/>
      <c r="D33" s="23"/>
      <c r="E33" s="23"/>
    </row>
    <row r="34" customFormat="false" ht="15" hidden="false" customHeight="true" outlineLevel="0" collapsed="false">
      <c r="A34" s="22" t="s">
        <v>43</v>
      </c>
      <c r="B34" s="22"/>
      <c r="C34" s="22"/>
      <c r="D34" s="22"/>
      <c r="E34" s="22"/>
    </row>
    <row r="35" customFormat="false" ht="30" hidden="false" customHeight="true" outlineLevel="0" collapsed="false">
      <c r="A35" s="23" t="s">
        <v>44</v>
      </c>
      <c r="B35" s="23"/>
      <c r="C35" s="23"/>
      <c r="D35" s="23"/>
      <c r="E35" s="23"/>
    </row>
    <row r="36" customFormat="false" ht="15" hidden="false" customHeight="true" outlineLevel="0" collapsed="false">
      <c r="A36" s="22" t="s">
        <v>45</v>
      </c>
      <c r="B36" s="22"/>
      <c r="C36" s="22"/>
      <c r="D36" s="22"/>
      <c r="E36" s="22"/>
    </row>
    <row r="37" customFormat="false" ht="30" hidden="false" customHeight="true" outlineLevel="0" collapsed="false">
      <c r="A37" s="23" t="s">
        <v>46</v>
      </c>
      <c r="B37" s="23"/>
      <c r="C37" s="23"/>
      <c r="D37" s="23"/>
      <c r="E37" s="23"/>
    </row>
    <row r="38" customFormat="false" ht="30" hidden="false" customHeight="true" outlineLevel="0" collapsed="false">
      <c r="A38" s="24" t="s">
        <v>47</v>
      </c>
      <c r="B38" s="24"/>
      <c r="C38" s="24"/>
      <c r="D38" s="24"/>
      <c r="E38" s="24"/>
    </row>
  </sheetData>
  <mergeCells count="27">
    <mergeCell ref="A1:E1"/>
    <mergeCell ref="A2:E2"/>
    <mergeCell ref="A4:E4"/>
    <mergeCell ref="A5:E9"/>
    <mergeCell ref="A10:E10"/>
    <mergeCell ref="A12:E12"/>
    <mergeCell ref="A17:E17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2" min="1" style="1" width="5"/>
    <col collapsed="false" customWidth="true" hidden="false" outlineLevel="0" max="3" min="3" style="1" width="40"/>
    <col collapsed="false" customWidth="true" hidden="false" outlineLevel="0" max="4" min="4" style="1" width="58"/>
    <col collapsed="false" customWidth="true" hidden="false" outlineLevel="0" max="5" min="5" style="1" width="18"/>
  </cols>
  <sheetData>
    <row r="1" customFormat="false" ht="25.5" hidden="false" customHeight="true" outlineLevel="0" collapsed="false">
      <c r="A1" s="25" t="s">
        <v>48</v>
      </c>
      <c r="B1" s="25"/>
      <c r="C1" s="25"/>
      <c r="D1" s="25"/>
      <c r="E1" s="25"/>
    </row>
    <row r="2" customFormat="false" ht="15" hidden="false" customHeight="true" outlineLevel="0" collapsed="false">
      <c r="A2" s="26" t="s">
        <v>49</v>
      </c>
      <c r="B2" s="26"/>
      <c r="C2" s="26"/>
      <c r="D2" s="26"/>
      <c r="E2" s="26"/>
    </row>
    <row r="4" customFormat="false" ht="15" hidden="false" customHeight="true" outlineLevel="0" collapsed="false">
      <c r="B4" s="27" t="s">
        <v>50</v>
      </c>
      <c r="C4" s="28" t="s">
        <v>51</v>
      </c>
      <c r="D4" s="28" t="s">
        <v>52</v>
      </c>
      <c r="E4" s="27" t="s">
        <v>53</v>
      </c>
    </row>
    <row r="5" customFormat="false" ht="15" hidden="false" customHeight="true" outlineLevel="0" collapsed="false">
      <c r="B5" s="29"/>
      <c r="C5" s="30" t="s">
        <v>54</v>
      </c>
      <c r="D5" s="31" t="s">
        <v>55</v>
      </c>
      <c r="E5" s="32" t="s">
        <v>56</v>
      </c>
    </row>
    <row r="6" customFormat="false" ht="15" hidden="false" customHeight="true" outlineLevel="0" collapsed="false">
      <c r="B6" s="33"/>
      <c r="C6" s="34" t="s">
        <v>57</v>
      </c>
      <c r="D6" s="35" t="s">
        <v>58</v>
      </c>
      <c r="E6" s="36" t="s">
        <v>56</v>
      </c>
    </row>
    <row r="7" customFormat="false" ht="15" hidden="false" customHeight="true" outlineLevel="0" collapsed="false">
      <c r="B7" s="29"/>
      <c r="C7" s="30" t="s">
        <v>59</v>
      </c>
      <c r="D7" s="31" t="s">
        <v>60</v>
      </c>
      <c r="E7" s="32" t="s">
        <v>56</v>
      </c>
    </row>
    <row r="8" customFormat="false" ht="15" hidden="false" customHeight="true" outlineLevel="0" collapsed="false">
      <c r="B8" s="33"/>
      <c r="C8" s="34" t="s">
        <v>61</v>
      </c>
      <c r="D8" s="35" t="s">
        <v>62</v>
      </c>
      <c r="E8" s="36" t="s">
        <v>56</v>
      </c>
    </row>
    <row r="9" customFormat="false" ht="15" hidden="false" customHeight="true" outlineLevel="0" collapsed="false">
      <c r="B9" s="29"/>
      <c r="C9" s="30" t="s">
        <v>63</v>
      </c>
      <c r="D9" s="31" t="s">
        <v>64</v>
      </c>
      <c r="E9" s="32" t="s">
        <v>56</v>
      </c>
    </row>
    <row r="10" customFormat="false" ht="15" hidden="false" customHeight="true" outlineLevel="0" collapsed="false">
      <c r="B10" s="33"/>
      <c r="C10" s="34" t="s">
        <v>65</v>
      </c>
      <c r="D10" s="35" t="s">
        <v>66</v>
      </c>
      <c r="E10" s="36" t="s">
        <v>56</v>
      </c>
    </row>
    <row r="11" customFormat="false" ht="15" hidden="false" customHeight="true" outlineLevel="0" collapsed="false">
      <c r="B11" s="29"/>
      <c r="C11" s="30" t="s">
        <v>67</v>
      </c>
      <c r="D11" s="31" t="s">
        <v>68</v>
      </c>
      <c r="E11" s="32" t="s">
        <v>56</v>
      </c>
    </row>
    <row r="12" customFormat="false" ht="15" hidden="false" customHeight="true" outlineLevel="0" collapsed="false">
      <c r="B12" s="33"/>
      <c r="C12" s="34" t="s">
        <v>69</v>
      </c>
      <c r="D12" s="35" t="s">
        <v>70</v>
      </c>
      <c r="E12" s="36" t="s">
        <v>56</v>
      </c>
    </row>
    <row r="13" customFormat="false" ht="15" hidden="false" customHeight="true" outlineLevel="0" collapsed="false">
      <c r="B13" s="29"/>
      <c r="C13" s="30" t="s">
        <v>71</v>
      </c>
      <c r="D13" s="31" t="s">
        <v>72</v>
      </c>
      <c r="E13" s="32" t="s">
        <v>56</v>
      </c>
    </row>
    <row r="14" customFormat="false" ht="15" hidden="false" customHeight="true" outlineLevel="0" collapsed="false">
      <c r="B14" s="33"/>
      <c r="C14" s="34" t="s">
        <v>73</v>
      </c>
      <c r="D14" s="35" t="s">
        <v>74</v>
      </c>
      <c r="E14" s="36" t="s">
        <v>56</v>
      </c>
    </row>
    <row r="15" customFormat="false" ht="15" hidden="false" customHeight="true" outlineLevel="0" collapsed="false">
      <c r="B15" s="29"/>
      <c r="C15" s="30" t="s">
        <v>75</v>
      </c>
      <c r="D15" s="31" t="s">
        <v>76</v>
      </c>
      <c r="E15" s="32" t="s">
        <v>56</v>
      </c>
    </row>
    <row r="16" customFormat="false" ht="15" hidden="false" customHeight="true" outlineLevel="0" collapsed="false">
      <c r="B16" s="33"/>
      <c r="C16" s="34" t="s">
        <v>77</v>
      </c>
      <c r="D16" s="35" t="s">
        <v>78</v>
      </c>
      <c r="E16" s="36" t="s">
        <v>56</v>
      </c>
    </row>
    <row r="17" customFormat="false" ht="15" hidden="false" customHeight="true" outlineLevel="0" collapsed="false">
      <c r="B17" s="29"/>
      <c r="C17" s="30" t="s">
        <v>79</v>
      </c>
      <c r="D17" s="31" t="s">
        <v>80</v>
      </c>
      <c r="E17" s="32" t="s">
        <v>56</v>
      </c>
    </row>
    <row r="19" customFormat="false" ht="15" hidden="false" customHeight="true" outlineLevel="0" collapsed="false">
      <c r="B19" s="37" t="s">
        <v>81</v>
      </c>
      <c r="C19" s="37"/>
      <c r="D19" s="37"/>
      <c r="E19" s="37"/>
    </row>
    <row r="20" customFormat="false" ht="15" hidden="false" customHeight="true" outlineLevel="0" collapsed="false">
      <c r="B20" s="38"/>
      <c r="C20" s="39" t="s">
        <v>82</v>
      </c>
      <c r="D20" s="39"/>
      <c r="E20" s="40" t="n">
        <f aca="false">IFERROR('Project Cost'!$C$14,"")</f>
        <v>0</v>
      </c>
    </row>
    <row r="21" customFormat="false" ht="15" hidden="false" customHeight="true" outlineLevel="0" collapsed="false">
      <c r="B21" s="41"/>
      <c r="C21" s="42" t="s">
        <v>83</v>
      </c>
      <c r="D21" s="42"/>
      <c r="E21" s="43" t="str">
        <f aca="false">IFERROR(Assumptions!$B$51/Assumptions!$B$52,"")</f>
        <v/>
      </c>
    </row>
    <row r="22" customFormat="false" ht="15" hidden="false" customHeight="true" outlineLevel="0" collapsed="false">
      <c r="B22" s="38"/>
      <c r="C22" s="39" t="s">
        <v>84</v>
      </c>
      <c r="D22" s="39"/>
      <c r="E22" s="40" t="n">
        <f aca="false">IFERROR('Profitability (Annual)'!$C$9,"")</f>
        <v>0</v>
      </c>
    </row>
    <row r="23" customFormat="false" ht="15" hidden="false" customHeight="true" outlineLevel="0" collapsed="false">
      <c r="B23" s="41"/>
      <c r="C23" s="42" t="s">
        <v>85</v>
      </c>
      <c r="D23" s="42"/>
      <c r="E23" s="40" t="n">
        <f aca="false">IFERROR('Profitability (Annual)'!$G$9,"")</f>
        <v>0</v>
      </c>
    </row>
    <row r="24" customFormat="false" ht="15" hidden="false" customHeight="true" outlineLevel="0" collapsed="false">
      <c r="B24" s="38"/>
      <c r="C24" s="39" t="s">
        <v>86</v>
      </c>
      <c r="D24" s="39"/>
      <c r="E24" s="40" t="n">
        <f aca="false">IFERROR('Profitability (Annual)'!$G$27,"")</f>
        <v>0</v>
      </c>
    </row>
    <row r="25" customFormat="false" ht="15" hidden="false" customHeight="true" outlineLevel="0" collapsed="false">
      <c r="B25" s="41"/>
      <c r="C25" s="42" t="s">
        <v>87</v>
      </c>
      <c r="D25" s="42"/>
      <c r="E25" s="40" t="n">
        <f aca="false">IFERROR('Profitability (Annual)'!$G$36,"")</f>
        <v>0</v>
      </c>
    </row>
    <row r="26" customFormat="false" ht="15" hidden="false" customHeight="true" outlineLevel="0" collapsed="false">
      <c r="B26" s="38"/>
      <c r="C26" s="39" t="s">
        <v>88</v>
      </c>
      <c r="D26" s="39"/>
      <c r="E26" s="40" t="n">
        <f aca="false">IFERROR('Balance Sheet'!$H$8,"")</f>
        <v>0</v>
      </c>
    </row>
    <row r="27" customFormat="false" ht="15" hidden="false" customHeight="true" outlineLevel="0" collapsed="false">
      <c r="B27" s="44"/>
      <c r="C27" s="45" t="s">
        <v>26</v>
      </c>
      <c r="D27" s="45"/>
      <c r="E27" s="46" t="n">
        <f aca="false">IFERROR('Ratios &amp; DSCR'!C26,"")</f>
        <v>0</v>
      </c>
    </row>
  </sheetData>
  <mergeCells count="11">
    <mergeCell ref="A1:E1"/>
    <mergeCell ref="A2:E2"/>
    <mergeCell ref="B19:E19"/>
    <mergeCell ref="C20:D20"/>
    <mergeCell ref="C21:D21"/>
    <mergeCell ref="C22:D22"/>
    <mergeCell ref="C23:D23"/>
    <mergeCell ref="C24:D24"/>
    <mergeCell ref="C25:D25"/>
    <mergeCell ref="C26:D26"/>
    <mergeCell ref="C27:D27"/>
  </mergeCells>
  <hyperlinks>
    <hyperlink ref="C5" r:id="rId1" location="'Cover'!A1" display="Cover"/>
    <hyperlink ref="E5" r:id="rId2" location="'Cover'!A1" display="Open ↗"/>
    <hyperlink ref="C6" r:id="rId3" location="'Assumptions'!A1" display="Assumptions"/>
    <hyperlink ref="E6" r:id="rId4" location="'Assumptions'!A1" display="Open ↗"/>
    <hyperlink ref="C7" r:id="rId5" location="'Project%20Cost'!A1" display="Project Cost"/>
    <hyperlink ref="E7" r:id="rId6" location="'Project%20Cost'!A1" display="Open ↗"/>
    <hyperlink ref="C8" r:id="rId7" location="'Depreciation'!A1" display="Depreciation"/>
    <hyperlink ref="E8" r:id="rId8" location="'Depreciation'!A1" display="Open ↗"/>
    <hyperlink ref="C9" r:id="rId9" location="'Term%20Loan'!A1" display="Term Loan"/>
    <hyperlink ref="E9" r:id="rId10" location="'Term%20Loan'!A1" display="Open ↗"/>
    <hyperlink ref="C10" r:id="rId11" location="'Production%20&amp;%20Sales'!A1" display="Production &amp; Sales"/>
    <hyperlink ref="E10" r:id="rId12" location="'Production%20&amp;%20Sales'!A1" display="Open ↗"/>
    <hyperlink ref="C11" r:id="rId13" location="'Profitability%20(Monthly)'!A1" display="Profitability (Monthly)"/>
    <hyperlink ref="E11" r:id="rId14" location="'Profitability%20(Monthly)'!A1" display="Open ↗"/>
    <hyperlink ref="C12" r:id="rId15" location="'Profitability%20(Annual)'!A1" display="Profitability (Annual)"/>
    <hyperlink ref="E12" r:id="rId16" location="'Profitability%20(Annual)'!A1" display="Open ↗"/>
    <hyperlink ref="C13" r:id="rId17" location="'Working%20Capital'!A1" display="Working Capital"/>
    <hyperlink ref="E13" r:id="rId18" location="'Working%20Capital'!A1" display="Open ↗"/>
    <hyperlink ref="C14" r:id="rId19" location="'Balance%20Sheet'!A1" display="Balance Sheet"/>
    <hyperlink ref="E14" r:id="rId20" location="'Balance%20Sheet'!A1" display="Open ↗"/>
    <hyperlink ref="C15" r:id="rId21" location="'Cash%20Flow'!A1" display="Cash Flow"/>
    <hyperlink ref="E15" r:id="rId22" location="'Cash%20Flow'!A1" display="Open ↗"/>
    <hyperlink ref="C16" r:id="rId23" location="'Ratios%20&amp;%20DSCR'!A1" display="Ratios &amp; DSCR"/>
    <hyperlink ref="E16" r:id="rId24" location="'Ratios%20&amp;%20DSCR'!A1" display="Open ↗"/>
    <hyperlink ref="C17" r:id="rId25" location="'Break-even%20&amp;%20Sensitivity'!A1" display="Break-even &amp; Sensitivity"/>
    <hyperlink ref="E17" r:id="rId26" location="'Break-even%20&amp;%20Sensitivity'!A1" display="Open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3" min="2" style="1" width="13"/>
    <col collapsed="false" customWidth="true" hidden="false" outlineLevel="0" max="4" min="4" style="1" width="40"/>
    <col collapsed="false" customWidth="true" hidden="false" outlineLevel="0" max="5" min="5" style="1" width="30"/>
  </cols>
  <sheetData>
    <row r="1" customFormat="false" ht="24" hidden="false" customHeight="true" outlineLevel="0" collapsed="false">
      <c r="A1" s="47" t="s">
        <v>89</v>
      </c>
      <c r="B1" s="47"/>
      <c r="C1" s="47"/>
      <c r="D1" s="47"/>
      <c r="E1" s="47"/>
    </row>
    <row r="2" customFormat="false" ht="15" hidden="false" customHeight="true" outlineLevel="0" collapsed="false">
      <c r="A2" s="26" t="s">
        <v>90</v>
      </c>
      <c r="B2" s="26"/>
      <c r="C2" s="26"/>
      <c r="D2" s="26"/>
      <c r="E2" s="26"/>
    </row>
    <row r="3" customFormat="false" ht="15" hidden="false" customHeight="true" outlineLevel="0" collapsed="false">
      <c r="A3" s="48" t="s">
        <v>91</v>
      </c>
      <c r="B3" s="49" t="s">
        <v>92</v>
      </c>
      <c r="C3" s="50" t="s">
        <v>93</v>
      </c>
      <c r="D3" s="51" t="s">
        <v>94</v>
      </c>
    </row>
    <row r="4" customFormat="false" ht="15" hidden="false" customHeight="true" outlineLevel="0" collapsed="false">
      <c r="A4" s="14" t="s">
        <v>95</v>
      </c>
      <c r="B4" s="14"/>
      <c r="C4" s="14"/>
      <c r="D4" s="14"/>
      <c r="E4" s="14"/>
    </row>
    <row r="5" customFormat="false" ht="30" hidden="false" customHeight="true" outlineLevel="0" collapsed="false">
      <c r="A5" s="52" t="str">
        <f aca="false">IFERROR(INDEX('Industry Labels'!$C$5:$Z$5,MATCH(Assumptions!$B$3,'Industry Labels'!$C$4:$Z$4,0)),"Installed / service capacity")</f>
        <v>Installed / service capacity</v>
      </c>
      <c r="B5" s="53"/>
      <c r="C5" s="54" t="str">
        <f aca="false">IFERROR(INDEX('Industry Labels'!$C$6:$Z$6,MATCH(Assumptions!$B$3,'Industry Labels'!$C$4:$Z$4,0)),"units/month")</f>
        <v>units/month</v>
      </c>
      <c r="D5" s="55" t="s">
        <v>96</v>
      </c>
      <c r="E5" s="44"/>
    </row>
    <row r="6" customFormat="false" ht="15" hidden="false" customHeight="true" outlineLevel="0" collapsed="false">
      <c r="A6" s="56" t="s">
        <v>97</v>
      </c>
      <c r="B6" s="57" t="n">
        <v>2026</v>
      </c>
      <c r="C6" s="54" t="s">
        <v>98</v>
      </c>
      <c r="D6" s="55" t="s">
        <v>99</v>
      </c>
      <c r="E6" s="44"/>
    </row>
    <row r="7" customFormat="false" ht="20.25" hidden="false" customHeight="true" outlineLevel="0" collapsed="false">
      <c r="A7" s="56" t="s">
        <v>100</v>
      </c>
      <c r="B7" s="57"/>
      <c r="C7" s="54" t="s">
        <v>101</v>
      </c>
      <c r="D7" s="55" t="s">
        <v>102</v>
      </c>
      <c r="E7" s="44"/>
    </row>
    <row r="8" customFormat="false" ht="15" hidden="false" customHeight="true" outlineLevel="0" collapsed="false">
      <c r="A8" s="14" t="s">
        <v>103</v>
      </c>
      <c r="B8" s="14"/>
      <c r="C8" s="14"/>
      <c r="D8" s="14"/>
      <c r="E8" s="14"/>
    </row>
    <row r="9" customFormat="false" ht="15" hidden="false" customHeight="true" outlineLevel="0" collapsed="false">
      <c r="A9" s="58" t="s">
        <v>104</v>
      </c>
      <c r="B9" s="58"/>
      <c r="C9" s="58"/>
      <c r="D9" s="58"/>
      <c r="E9" s="58"/>
    </row>
    <row r="10" customFormat="false" ht="20.25" hidden="false" customHeight="true" outlineLevel="0" collapsed="false">
      <c r="A10" s="52" t="str">
        <f aca="false">IFERROR(INDEX('Industry Labels'!$C$9:$Z$9,MATCH(Assumptions!$B$3,'Industry Labels'!$C$4:$Z$4,0)),"Average selling price / unit (Yr1)")</f>
        <v>Average selling price / unit (Yr1)</v>
      </c>
      <c r="B10" s="59"/>
      <c r="C10" s="54" t="str">
        <f aca="false">"₹/"&amp;IFERROR(INDEX('Industry Labels'!$C$8:$Z$8,MATCH(Assumptions!$B$3,'Industry Labels'!$C$4:$Z$4,0)),"unit")</f>
        <v>₹/unit</v>
      </c>
      <c r="D10" s="55" t="s">
        <v>105</v>
      </c>
      <c r="E10" s="44"/>
    </row>
    <row r="11" customFormat="false" ht="20.25" hidden="false" customHeight="true" outlineLevel="0" collapsed="false">
      <c r="A11" s="52" t="str">
        <f aca="false">IFERROR(INDEX('Industry Labels'!$C$10:$Z$10,MATCH(Assumptions!$B$3,'Industry Labels'!$C$4:$Z$4,0)),"Direct cost of goods / services per unit (Yr1)")</f>
        <v>Direct cost of goods / services per unit (Yr1)</v>
      </c>
      <c r="B11" s="59"/>
      <c r="C11" s="54" t="str">
        <f aca="false">"₹/"&amp;IFERROR(INDEX('Industry Labels'!$C$8:$Z$8,MATCH(Assumptions!$B$3,'Industry Labels'!$C$4:$Z$4,0)),"unit")</f>
        <v>₹/unit</v>
      </c>
      <c r="D11" s="55" t="s">
        <v>106</v>
      </c>
      <c r="E11" s="44"/>
    </row>
    <row r="12" customFormat="false" ht="15" hidden="false" customHeight="true" outlineLevel="0" collapsed="false">
      <c r="A12" s="14" t="s">
        <v>107</v>
      </c>
      <c r="B12" s="14"/>
      <c r="C12" s="14"/>
      <c r="D12" s="14"/>
      <c r="E12" s="14"/>
    </row>
    <row r="13" customFormat="false" ht="15" hidden="false" customHeight="true" outlineLevel="0" collapsed="false">
      <c r="A13" s="60" t="s">
        <v>108</v>
      </c>
      <c r="B13" s="60"/>
      <c r="C13" s="60"/>
      <c r="D13" s="60"/>
      <c r="E13" s="60"/>
    </row>
    <row r="14" customFormat="false" ht="15" hidden="false" customHeight="true" outlineLevel="0" collapsed="false">
      <c r="A14" s="61" t="s">
        <v>109</v>
      </c>
    </row>
    <row r="15" customFormat="false" ht="15" hidden="false" customHeight="true" outlineLevel="0" collapsed="false">
      <c r="A15" s="62" t="s">
        <v>110</v>
      </c>
      <c r="B15" s="41"/>
      <c r="C15" s="41"/>
      <c r="D15" s="41"/>
      <c r="E15" s="41"/>
    </row>
    <row r="16" customFormat="false" ht="15" hidden="false" customHeight="true" outlineLevel="0" collapsed="false">
      <c r="A16" s="63" t="s">
        <v>111</v>
      </c>
      <c r="B16" s="64"/>
      <c r="C16" s="54" t="s">
        <v>112</v>
      </c>
      <c r="D16" s="65" t="s">
        <v>113</v>
      </c>
      <c r="E16" s="44"/>
    </row>
    <row r="17" customFormat="false" ht="15" hidden="false" customHeight="true" outlineLevel="0" collapsed="false">
      <c r="A17" s="63" t="s">
        <v>114</v>
      </c>
      <c r="B17" s="64"/>
      <c r="C17" s="54" t="s">
        <v>112</v>
      </c>
      <c r="D17" s="65" t="s">
        <v>113</v>
      </c>
      <c r="E17" s="44"/>
    </row>
    <row r="18" customFormat="false" ht="15" hidden="false" customHeight="true" outlineLevel="0" collapsed="false">
      <c r="A18" s="63" t="s">
        <v>115</v>
      </c>
      <c r="B18" s="64"/>
      <c r="C18" s="54" t="s">
        <v>112</v>
      </c>
      <c r="D18" s="65" t="s">
        <v>113</v>
      </c>
      <c r="E18" s="44"/>
    </row>
    <row r="19" customFormat="false" ht="15" hidden="false" customHeight="true" outlineLevel="0" collapsed="false">
      <c r="A19" s="63" t="s">
        <v>116</v>
      </c>
      <c r="B19" s="64"/>
      <c r="C19" s="54" t="s">
        <v>112</v>
      </c>
      <c r="D19" s="65" t="s">
        <v>113</v>
      </c>
      <c r="E19" s="44"/>
    </row>
    <row r="20" customFormat="false" ht="15" hidden="false" customHeight="true" outlineLevel="0" collapsed="false">
      <c r="A20" s="63" t="s">
        <v>117</v>
      </c>
      <c r="B20" s="64"/>
      <c r="C20" s="54" t="s">
        <v>112</v>
      </c>
      <c r="D20" s="65" t="s">
        <v>113</v>
      </c>
      <c r="E20" s="44"/>
    </row>
    <row r="21" customFormat="false" ht="15" hidden="false" customHeight="true" outlineLevel="0" collapsed="false">
      <c r="A21" s="63" t="s">
        <v>118</v>
      </c>
      <c r="B21" s="64"/>
      <c r="C21" s="54" t="s">
        <v>112</v>
      </c>
      <c r="D21" s="65" t="s">
        <v>113</v>
      </c>
      <c r="E21" s="44"/>
    </row>
    <row r="22" customFormat="false" ht="15" hidden="false" customHeight="true" outlineLevel="0" collapsed="false">
      <c r="A22" s="63" t="s">
        <v>119</v>
      </c>
      <c r="B22" s="64"/>
      <c r="C22" s="54" t="s">
        <v>112</v>
      </c>
      <c r="D22" s="65" t="s">
        <v>120</v>
      </c>
      <c r="E22" s="44"/>
    </row>
    <row r="23" customFormat="false" ht="15" hidden="false" customHeight="true" outlineLevel="0" collapsed="false">
      <c r="A23" s="63" t="s">
        <v>121</v>
      </c>
      <c r="B23" s="64"/>
      <c r="C23" s="54" t="s">
        <v>112</v>
      </c>
      <c r="D23" s="65" t="s">
        <v>120</v>
      </c>
      <c r="E23" s="44"/>
    </row>
    <row r="24" customFormat="false" ht="15" hidden="false" customHeight="true" outlineLevel="0" collapsed="false">
      <c r="A24" s="63" t="s">
        <v>122</v>
      </c>
      <c r="B24" s="64"/>
      <c r="C24" s="54" t="s">
        <v>112</v>
      </c>
      <c r="D24" s="65" t="s">
        <v>120</v>
      </c>
      <c r="E24" s="44"/>
    </row>
    <row r="25" customFormat="false" ht="15" hidden="false" customHeight="true" outlineLevel="0" collapsed="false">
      <c r="A25" s="63" t="s">
        <v>123</v>
      </c>
      <c r="B25" s="64"/>
      <c r="C25" s="54" t="s">
        <v>112</v>
      </c>
      <c r="D25" s="65" t="s">
        <v>120</v>
      </c>
      <c r="E25" s="44"/>
    </row>
    <row r="26" customFormat="false" ht="15" hidden="false" customHeight="true" outlineLevel="0" collapsed="false">
      <c r="A26" s="63" t="s">
        <v>124</v>
      </c>
      <c r="B26" s="64"/>
      <c r="C26" s="54" t="s">
        <v>112</v>
      </c>
      <c r="D26" s="65" t="s">
        <v>120</v>
      </c>
      <c r="E26" s="44"/>
    </row>
    <row r="27" customFormat="false" ht="15" hidden="false" customHeight="true" outlineLevel="0" collapsed="false">
      <c r="A27" s="63" t="s">
        <v>125</v>
      </c>
      <c r="B27" s="64"/>
      <c r="C27" s="54" t="s">
        <v>112</v>
      </c>
      <c r="D27" s="65" t="s">
        <v>120</v>
      </c>
      <c r="E27" s="44"/>
    </row>
    <row r="28" customFormat="false" ht="15" hidden="false" customHeight="true" outlineLevel="0" collapsed="false">
      <c r="A28" s="52" t="s">
        <v>126</v>
      </c>
      <c r="B28" s="66"/>
      <c r="C28" s="54" t="s">
        <v>112</v>
      </c>
      <c r="D28" s="55" t="s">
        <v>127</v>
      </c>
      <c r="E28" s="44"/>
    </row>
    <row r="29" customFormat="false" ht="15" hidden="false" customHeight="true" outlineLevel="0" collapsed="false">
      <c r="A29" s="52" t="s">
        <v>128</v>
      </c>
      <c r="B29" s="66"/>
      <c r="C29" s="54" t="s">
        <v>112</v>
      </c>
      <c r="D29" s="55" t="s">
        <v>129</v>
      </c>
      <c r="E29" s="44"/>
    </row>
    <row r="30" customFormat="false" ht="15" hidden="false" customHeight="true" outlineLevel="0" collapsed="false">
      <c r="A30" s="52" t="s">
        <v>130</v>
      </c>
      <c r="B30" s="66"/>
      <c r="C30" s="54" t="s">
        <v>112</v>
      </c>
      <c r="D30" s="55" t="s">
        <v>131</v>
      </c>
      <c r="E30" s="44"/>
    </row>
    <row r="31" customFormat="false" ht="15" hidden="false" customHeight="true" outlineLevel="0" collapsed="false">
      <c r="A31" s="52" t="s">
        <v>132</v>
      </c>
      <c r="B31" s="66"/>
      <c r="C31" s="54" t="s">
        <v>112</v>
      </c>
      <c r="D31" s="55" t="s">
        <v>133</v>
      </c>
      <c r="E31" s="44"/>
    </row>
    <row r="32" customFormat="false" ht="15" hidden="false" customHeight="true" outlineLevel="0" collapsed="false">
      <c r="A32" s="14" t="s">
        <v>134</v>
      </c>
      <c r="B32" s="14"/>
      <c r="C32" s="14"/>
      <c r="D32" s="14"/>
      <c r="E32" s="14"/>
    </row>
    <row r="33" customFormat="false" ht="15" hidden="false" customHeight="true" outlineLevel="0" collapsed="false">
      <c r="A33" s="52" t="s">
        <v>135</v>
      </c>
      <c r="B33" s="66"/>
      <c r="C33" s="54" t="s">
        <v>136</v>
      </c>
      <c r="D33" s="55" t="s">
        <v>137</v>
      </c>
      <c r="E33" s="44"/>
    </row>
    <row r="34" customFormat="false" ht="15" hidden="false" customHeight="true" outlineLevel="0" collapsed="false">
      <c r="A34" s="52" t="s">
        <v>138</v>
      </c>
      <c r="B34" s="66"/>
      <c r="C34" s="54" t="s">
        <v>136</v>
      </c>
      <c r="D34" s="55" t="s">
        <v>139</v>
      </c>
      <c r="E34" s="44"/>
    </row>
    <row r="35" customFormat="false" ht="15" hidden="false" customHeight="true" outlineLevel="0" collapsed="false">
      <c r="A35" s="52" t="s">
        <v>140</v>
      </c>
      <c r="B35" s="66"/>
      <c r="C35" s="54" t="s">
        <v>136</v>
      </c>
      <c r="D35" s="55" t="s">
        <v>141</v>
      </c>
      <c r="E35" s="67"/>
    </row>
    <row r="36" customFormat="false" ht="15" hidden="false" customHeight="true" outlineLevel="0" collapsed="false">
      <c r="A36" s="52" t="s">
        <v>142</v>
      </c>
      <c r="B36" s="66"/>
      <c r="C36" s="54" t="s">
        <v>136</v>
      </c>
      <c r="D36" s="55" t="s">
        <v>143</v>
      </c>
      <c r="E36" s="44"/>
    </row>
    <row r="37" customFormat="false" ht="15" hidden="false" customHeight="true" outlineLevel="0" collapsed="false">
      <c r="A37" s="52" t="s">
        <v>144</v>
      </c>
      <c r="B37" s="66"/>
      <c r="C37" s="54" t="s">
        <v>136</v>
      </c>
      <c r="D37" s="55" t="s">
        <v>145</v>
      </c>
      <c r="E37" s="44"/>
    </row>
    <row r="38" customFormat="false" ht="15" hidden="false" customHeight="true" outlineLevel="0" collapsed="false">
      <c r="A38" s="14" t="s">
        <v>146</v>
      </c>
      <c r="B38" s="14"/>
      <c r="C38" s="14"/>
      <c r="D38" s="14"/>
      <c r="E38" s="14"/>
    </row>
    <row r="39" customFormat="false" ht="30" hidden="false" customHeight="true" outlineLevel="0" collapsed="false">
      <c r="A39" s="52" t="str">
        <f aca="false">IFERROR(INDEX('Industry Labels'!$C$11:$Z$11,MATCH(Assumptions!$B$3,'Industry Labels'!$C$4:$Z$4,0)),"Utilities &amp; energy / unit")</f>
        <v>Utilities &amp; energy / unit</v>
      </c>
      <c r="B39" s="59"/>
      <c r="C39" s="54" t="str">
        <f aca="false">"₹/"&amp;IFERROR(INDEX('Industry Labels'!$C$8:$Z$8,MATCH(Assumptions!$B$3,'Industry Labels'!$C$4:$Z$4,0)),"unit")</f>
        <v>₹/unit</v>
      </c>
      <c r="D39" s="55" t="s">
        <v>147</v>
      </c>
      <c r="E39" s="44"/>
    </row>
    <row r="40" customFormat="false" ht="15" hidden="false" customHeight="true" outlineLevel="0" collapsed="false">
      <c r="A40" s="52" t="str">
        <f aca="false">IFERROR(INDEX('Industry Labels'!$C$12:$Z$12,MATCH(Assumptions!$B$3,'Industry Labels'!$C$4:$Z$4,0)),"Consumables &amp; supplies / unit")</f>
        <v>Consumables &amp; supplies / unit</v>
      </c>
      <c r="B40" s="59"/>
      <c r="C40" s="54" t="str">
        <f aca="false">"₹/"&amp;IFERROR(INDEX('Industry Labels'!$C$8:$Z$8,MATCH(Assumptions!$B$3,'Industry Labels'!$C$4:$Z$4,0)),"unit")</f>
        <v>₹/unit</v>
      </c>
      <c r="D40" s="55" t="s">
        <v>148</v>
      </c>
      <c r="E40" s="44"/>
    </row>
    <row r="41" customFormat="false" ht="15" hidden="false" customHeight="true" outlineLevel="0" collapsed="false">
      <c r="A41" s="52" t="str">
        <f aca="false">IFERROR(INDEX('Industry Labels'!$C$13:$Z$13,MATCH(Assumptions!$B$3,'Industry Labels'!$C$4:$Z$4,0)),"Packing &amp; delivery / unit")</f>
        <v>Packing &amp; delivery / unit</v>
      </c>
      <c r="B41" s="59"/>
      <c r="C41" s="54" t="str">
        <f aca="false">"₹/"&amp;IFERROR(INDEX('Industry Labels'!$C$8:$Z$8,MATCH(Assumptions!$B$3,'Industry Labels'!$C$4:$Z$4,0)),"unit")</f>
        <v>₹/unit</v>
      </c>
      <c r="D41" s="55" t="s">
        <v>149</v>
      </c>
      <c r="E41" s="44"/>
    </row>
    <row r="42" customFormat="false" ht="20.25" hidden="false" customHeight="true" outlineLevel="0" collapsed="false">
      <c r="A42" s="52" t="str">
        <f aca="false">IFERROR(INDEX('Industry Labels'!$C$14:$Z$14,MATCH(Assumptions!$B$3,'Industry Labels'!$C$4:$Z$4,0)),"Direct labour (Year-1)")</f>
        <v>Direct labour (Year-1)</v>
      </c>
      <c r="B42" s="68"/>
      <c r="C42" s="54" t="s">
        <v>150</v>
      </c>
      <c r="D42" s="55" t="s">
        <v>151</v>
      </c>
      <c r="E42" s="44"/>
    </row>
    <row r="43" customFormat="false" ht="15" hidden="false" customHeight="true" outlineLevel="0" collapsed="false">
      <c r="A43" s="14" t="s">
        <v>152</v>
      </c>
      <c r="B43" s="14"/>
      <c r="C43" s="14"/>
      <c r="D43" s="14"/>
      <c r="E43" s="14"/>
    </row>
    <row r="44" customFormat="false" ht="15" hidden="false" customHeight="true" outlineLevel="0" collapsed="false">
      <c r="A44" s="52" t="s">
        <v>153</v>
      </c>
      <c r="B44" s="68"/>
      <c r="C44" s="54" t="s">
        <v>150</v>
      </c>
      <c r="D44" s="55" t="s">
        <v>154</v>
      </c>
      <c r="E44" s="44"/>
    </row>
    <row r="45" customFormat="false" ht="20.25" hidden="false" customHeight="true" outlineLevel="0" collapsed="false">
      <c r="A45" s="52" t="str">
        <f aca="false">IFERROR(INDEX('Industry Labels'!$C$24:$Z$24,MATCH(Assumptions!$B$3,'Industry Labels'!$C$4:$Z$4,0)),"Fixed utility / facility charges")</f>
        <v>Fixed utility / facility charges</v>
      </c>
      <c r="B45" s="68"/>
      <c r="C45" s="54" t="s">
        <v>150</v>
      </c>
      <c r="D45" s="55" t="s">
        <v>155</v>
      </c>
      <c r="E45" s="67"/>
    </row>
    <row r="46" customFormat="false" ht="15" hidden="false" customHeight="true" outlineLevel="0" collapsed="false">
      <c r="A46" s="52" t="s">
        <v>156</v>
      </c>
      <c r="B46" s="66"/>
      <c r="C46" s="54" t="s">
        <v>157</v>
      </c>
      <c r="D46" s="55" t="s">
        <v>158</v>
      </c>
      <c r="E46" s="44"/>
    </row>
    <row r="47" customFormat="false" ht="20.25" hidden="false" customHeight="true" outlineLevel="0" collapsed="false">
      <c r="A47" s="52" t="s">
        <v>159</v>
      </c>
      <c r="B47" s="69"/>
      <c r="C47" s="54" t="s">
        <v>160</v>
      </c>
      <c r="D47" s="55" t="s">
        <v>161</v>
      </c>
      <c r="E47" s="44"/>
    </row>
    <row r="48" customFormat="false" ht="15" hidden="false" customHeight="true" outlineLevel="0" collapsed="false">
      <c r="A48" s="52" t="s">
        <v>162</v>
      </c>
      <c r="B48" s="68"/>
      <c r="C48" s="54" t="s">
        <v>150</v>
      </c>
      <c r="D48" s="55" t="s">
        <v>163</v>
      </c>
      <c r="E48" s="44"/>
    </row>
    <row r="49" customFormat="false" ht="15" hidden="false" customHeight="true" outlineLevel="0" collapsed="false">
      <c r="A49" s="52" t="s">
        <v>164</v>
      </c>
      <c r="B49" s="66"/>
      <c r="C49" s="54" t="s">
        <v>165</v>
      </c>
      <c r="D49" s="55" t="s">
        <v>166</v>
      </c>
      <c r="E49" s="44"/>
    </row>
    <row r="50" customFormat="false" ht="15" hidden="false" customHeight="true" outlineLevel="0" collapsed="false">
      <c r="A50" s="14" t="s">
        <v>167</v>
      </c>
      <c r="B50" s="14"/>
      <c r="C50" s="14"/>
      <c r="D50" s="14"/>
      <c r="E50" s="14"/>
    </row>
    <row r="51" customFormat="false" ht="15" hidden="false" customHeight="true" outlineLevel="0" collapsed="false">
      <c r="A51" s="52" t="s">
        <v>168</v>
      </c>
      <c r="B51" s="53"/>
      <c r="C51" s="54" t="s">
        <v>169</v>
      </c>
      <c r="D51" s="55" t="s">
        <v>170</v>
      </c>
      <c r="E51" s="44"/>
    </row>
    <row r="52" customFormat="false" ht="15" hidden="false" customHeight="true" outlineLevel="0" collapsed="false">
      <c r="A52" s="52" t="s">
        <v>171</v>
      </c>
      <c r="B52" s="53"/>
      <c r="C52" s="54" t="s">
        <v>169</v>
      </c>
      <c r="D52" s="55" t="s">
        <v>172</v>
      </c>
      <c r="E52" s="44"/>
    </row>
    <row r="53" customFormat="false" ht="20.25" hidden="false" customHeight="true" outlineLevel="0" collapsed="false">
      <c r="A53" s="52" t="s">
        <v>173</v>
      </c>
      <c r="B53" s="66"/>
      <c r="C53" s="54" t="s">
        <v>136</v>
      </c>
      <c r="D53" s="55" t="s">
        <v>174</v>
      </c>
      <c r="E53" s="67" t="s">
        <v>175</v>
      </c>
    </row>
    <row r="54" customFormat="false" ht="15" hidden="false" customHeight="true" outlineLevel="0" collapsed="false">
      <c r="A54" s="52" t="s">
        <v>176</v>
      </c>
      <c r="B54" s="70"/>
      <c r="C54" s="54" t="s">
        <v>177</v>
      </c>
      <c r="D54" s="55" t="s">
        <v>178</v>
      </c>
      <c r="E54" s="44"/>
    </row>
    <row r="55" customFormat="false" ht="15" hidden="false" customHeight="true" outlineLevel="0" collapsed="false">
      <c r="A55" s="52" t="s">
        <v>179</v>
      </c>
      <c r="B55" s="70"/>
      <c r="C55" s="54" t="s">
        <v>177</v>
      </c>
      <c r="D55" s="55" t="s">
        <v>180</v>
      </c>
      <c r="E55" s="44"/>
    </row>
    <row r="56" customFormat="false" ht="15" hidden="false" customHeight="true" outlineLevel="0" collapsed="false">
      <c r="A56" s="52" t="s">
        <v>181</v>
      </c>
      <c r="B56" s="66"/>
      <c r="C56" s="54" t="s">
        <v>136</v>
      </c>
      <c r="D56" s="55" t="s">
        <v>182</v>
      </c>
      <c r="E56" s="67" t="s">
        <v>183</v>
      </c>
    </row>
    <row r="57" customFormat="false" ht="15" hidden="false" customHeight="true" outlineLevel="0" collapsed="false">
      <c r="A57" s="14" t="s">
        <v>184</v>
      </c>
      <c r="B57" s="14"/>
      <c r="C57" s="14"/>
      <c r="D57" s="14"/>
      <c r="E57" s="14"/>
    </row>
    <row r="58" customFormat="false" ht="15" hidden="false" customHeight="true" outlineLevel="0" collapsed="false">
      <c r="A58" s="52" t="str">
        <f aca="false">IFERROR(INDEX('Industry Labels'!$C$27:$Z$27,MATCH(Assumptions!$B$3,'Industry Labels'!$C$4:$Z$4,0)),"Raw-material / stock inventory  (days of consumption held)")</f>
        <v>Raw-material / stock inventory  (days of consumption held)</v>
      </c>
      <c r="B58" s="71"/>
      <c r="C58" s="54" t="s">
        <v>101</v>
      </c>
      <c r="D58" s="55" t="s">
        <v>185</v>
      </c>
      <c r="E58" s="44"/>
    </row>
    <row r="59" customFormat="false" ht="15" hidden="false" customHeight="true" outlineLevel="0" collapsed="false">
      <c r="A59" s="52" t="str">
        <f aca="false">IFERROR(INDEX('Industry Labels'!$C$28:$Z$28,MATCH(Assumptions!$B$3,'Industry Labels'!$C$4:$Z$4,0)),"Finished goods / stock-in-trade  (days of cost held)")</f>
        <v>Finished goods / stock-in-trade  (days of cost held)</v>
      </c>
      <c r="B59" s="71"/>
      <c r="C59" s="54" t="s">
        <v>101</v>
      </c>
      <c r="D59" s="55" t="s">
        <v>186</v>
      </c>
      <c r="E59" s="44"/>
    </row>
    <row r="60" customFormat="false" ht="15" hidden="false" customHeight="true" outlineLevel="0" collapsed="false">
      <c r="A60" s="52" t="s">
        <v>187</v>
      </c>
      <c r="B60" s="71"/>
      <c r="C60" s="54" t="s">
        <v>101</v>
      </c>
      <c r="D60" s="55" t="s">
        <v>188</v>
      </c>
      <c r="E60" s="44"/>
    </row>
    <row r="61" customFormat="false" ht="15" hidden="false" customHeight="true" outlineLevel="0" collapsed="false">
      <c r="A61" s="52" t="s">
        <v>189</v>
      </c>
      <c r="B61" s="71"/>
      <c r="C61" s="54" t="s">
        <v>101</v>
      </c>
      <c r="D61" s="55" t="s">
        <v>190</v>
      </c>
      <c r="E61" s="44"/>
    </row>
    <row r="62" customFormat="false" ht="20.25" hidden="false" customHeight="true" outlineLevel="0" collapsed="false">
      <c r="A62" s="52" t="s">
        <v>191</v>
      </c>
      <c r="B62" s="66"/>
      <c r="C62" s="54" t="s">
        <v>112</v>
      </c>
      <c r="D62" s="55" t="s">
        <v>192</v>
      </c>
      <c r="E62" s="44"/>
    </row>
    <row r="63" customFormat="false" ht="15" hidden="false" customHeight="true" outlineLevel="0" collapsed="false">
      <c r="A63" s="14" t="s">
        <v>193</v>
      </c>
      <c r="B63" s="14"/>
      <c r="C63" s="14"/>
      <c r="D63" s="14"/>
      <c r="E63" s="14"/>
    </row>
    <row r="64" customFormat="false" ht="15" hidden="false" customHeight="true" outlineLevel="0" collapsed="false">
      <c r="A64" s="56" t="str">
        <f aca="false">IFERROR(INDEX('Industry Labels'!$C$29:$Z$29,MATCH(Assumptions!$B$3,'Industry Labels'!$C$4:$Z$4,0)),"Premises, building &amp; civil / fit-out depreciation (SLM)")</f>
        <v>Premises, building &amp; civil / fit-out depreciation (SLM)</v>
      </c>
      <c r="B64" s="72"/>
      <c r="C64" s="54" t="s">
        <v>194</v>
      </c>
      <c r="D64" s="55" t="s">
        <v>195</v>
      </c>
      <c r="E64" s="44"/>
    </row>
    <row r="65" customFormat="false" ht="15" hidden="false" customHeight="true" outlineLevel="0" collapsed="false">
      <c r="A65" s="56" t="str">
        <f aca="false">IFERROR(INDEX('Industry Labels'!$C$30:$Z$30,MATCH(Assumptions!$B$3,'Industry Labels'!$C$4:$Z$4,0)),"Equipment, machinery &amp; systems depreciation (SLM)")</f>
        <v>Equipment, machinery &amp; systems depreciation (SLM)</v>
      </c>
      <c r="B65" s="72"/>
      <c r="C65" s="54" t="s">
        <v>194</v>
      </c>
      <c r="D65" s="55" t="s">
        <v>196</v>
      </c>
      <c r="E65" s="44"/>
    </row>
    <row r="66" customFormat="false" ht="15" hidden="false" customHeight="true" outlineLevel="0" collapsed="false">
      <c r="A66" s="56" t="s">
        <v>197</v>
      </c>
      <c r="B66" s="72"/>
      <c r="C66" s="54" t="s">
        <v>194</v>
      </c>
      <c r="D66" s="55" t="s">
        <v>198</v>
      </c>
      <c r="E66" s="44"/>
    </row>
    <row r="67" customFormat="false" ht="15" hidden="false" customHeight="true" outlineLevel="0" collapsed="false">
      <c r="A67" s="56" t="s">
        <v>199</v>
      </c>
      <c r="B67" s="72"/>
      <c r="C67" s="54" t="s">
        <v>194</v>
      </c>
      <c r="D67" s="55" t="s">
        <v>200</v>
      </c>
      <c r="E67" s="44"/>
    </row>
    <row r="68" customFormat="false" ht="15" hidden="false" customHeight="true" outlineLevel="0" collapsed="false">
      <c r="A68" s="56" t="s">
        <v>201</v>
      </c>
      <c r="B68" s="72"/>
      <c r="C68" s="54" t="s">
        <v>194</v>
      </c>
      <c r="D68" s="55" t="s">
        <v>202</v>
      </c>
      <c r="E68" s="44"/>
    </row>
    <row r="69" customFormat="false" ht="15" hidden="false" customHeight="true" outlineLevel="0" collapsed="false">
      <c r="A69" s="56" t="s">
        <v>203</v>
      </c>
      <c r="B69" s="73"/>
      <c r="C69" s="54" t="s">
        <v>204</v>
      </c>
      <c r="D69" s="55" t="s">
        <v>205</v>
      </c>
      <c r="E69" s="44"/>
    </row>
    <row r="70" customFormat="false" ht="20.25" hidden="false" customHeight="true" outlineLevel="0" collapsed="false">
      <c r="A70" s="52" t="s">
        <v>206</v>
      </c>
      <c r="B70" s="69"/>
      <c r="C70" s="54" t="s">
        <v>112</v>
      </c>
      <c r="D70" s="55" t="s">
        <v>207</v>
      </c>
      <c r="E70" s="67" t="s">
        <v>208</v>
      </c>
    </row>
    <row r="71" customFormat="false" ht="20.25" hidden="false" customHeight="true" outlineLevel="0" collapsed="false">
      <c r="A71" s="56" t="s">
        <v>209</v>
      </c>
      <c r="B71" s="73"/>
      <c r="C71" s="54" t="s">
        <v>112</v>
      </c>
      <c r="D71" s="55" t="s">
        <v>210</v>
      </c>
      <c r="E71" s="67" t="s">
        <v>211</v>
      </c>
    </row>
    <row r="72" customFormat="false" ht="15" hidden="false" customHeight="true" outlineLevel="0" collapsed="false">
      <c r="A72" s="14" t="s">
        <v>212</v>
      </c>
      <c r="B72" s="14"/>
      <c r="C72" s="14"/>
      <c r="D72" s="14"/>
      <c r="E72" s="14"/>
    </row>
    <row r="73" customFormat="false" ht="30" hidden="false" customHeight="true" outlineLevel="0" collapsed="false">
      <c r="A73" s="74" t="s">
        <v>213</v>
      </c>
      <c r="B73" s="74"/>
      <c r="C73" s="74"/>
      <c r="D73" s="74"/>
      <c r="E73" s="74"/>
    </row>
    <row r="74" customFormat="false" ht="15" hidden="false" customHeight="true" outlineLevel="0" collapsed="false">
      <c r="A74" s="75" t="s">
        <v>214</v>
      </c>
      <c r="B74" s="75"/>
      <c r="C74" s="76" t="s">
        <v>215</v>
      </c>
      <c r="D74" s="76"/>
      <c r="E74" s="76"/>
    </row>
    <row r="75" customFormat="false" ht="15" hidden="false" customHeight="true" outlineLevel="0" collapsed="false">
      <c r="A75" s="77" t="s">
        <v>216</v>
      </c>
      <c r="B75" s="77"/>
      <c r="C75" s="78" t="s">
        <v>215</v>
      </c>
      <c r="D75" s="78"/>
      <c r="E75" s="78"/>
    </row>
    <row r="76" customFormat="false" ht="15" hidden="false" customHeight="true" outlineLevel="0" collapsed="false">
      <c r="A76" s="75" t="s">
        <v>217</v>
      </c>
      <c r="B76" s="75"/>
      <c r="C76" s="76" t="s">
        <v>215</v>
      </c>
      <c r="D76" s="76"/>
      <c r="E76" s="76"/>
    </row>
    <row r="77" customFormat="false" ht="15" hidden="false" customHeight="true" outlineLevel="0" collapsed="false">
      <c r="A77" s="77" t="s">
        <v>218</v>
      </c>
      <c r="B77" s="77"/>
      <c r="C77" s="78" t="s">
        <v>215</v>
      </c>
      <c r="D77" s="78"/>
      <c r="E77" s="78"/>
    </row>
    <row r="78" customFormat="false" ht="15" hidden="false" customHeight="true" outlineLevel="0" collapsed="false">
      <c r="A78" s="75" t="s">
        <v>219</v>
      </c>
      <c r="B78" s="75"/>
      <c r="C78" s="76" t="s">
        <v>215</v>
      </c>
      <c r="D78" s="76"/>
      <c r="E78" s="76"/>
    </row>
    <row r="79" customFormat="false" ht="15" hidden="false" customHeight="true" outlineLevel="0" collapsed="false">
      <c r="A79" s="79"/>
      <c r="B79" s="79"/>
      <c r="C79" s="80"/>
      <c r="D79" s="80"/>
      <c r="E79" s="80"/>
    </row>
    <row r="80" customFormat="false" ht="15" hidden="false" customHeight="true" outlineLevel="0" collapsed="false">
      <c r="A80" s="79"/>
      <c r="B80" s="79"/>
      <c r="C80" s="80"/>
      <c r="D80" s="80"/>
      <c r="E80" s="80"/>
    </row>
    <row r="81" customFormat="false" ht="15" hidden="false" customHeight="true" outlineLevel="0" collapsed="false">
      <c r="A81" s="79"/>
      <c r="B81" s="79"/>
      <c r="C81" s="80"/>
      <c r="D81" s="80"/>
      <c r="E81" s="80"/>
    </row>
  </sheetData>
  <mergeCells count="31">
    <mergeCell ref="A1:E1"/>
    <mergeCell ref="A2:E2"/>
    <mergeCell ref="A4:E4"/>
    <mergeCell ref="A8:E8"/>
    <mergeCell ref="A9:E9"/>
    <mergeCell ref="A12:E12"/>
    <mergeCell ref="A13:E13"/>
    <mergeCell ref="A32:E32"/>
    <mergeCell ref="A38:E38"/>
    <mergeCell ref="A43:E43"/>
    <mergeCell ref="A50:E50"/>
    <mergeCell ref="A57:E57"/>
    <mergeCell ref="A63:E63"/>
    <mergeCell ref="A72:E72"/>
    <mergeCell ref="A73:E73"/>
    <mergeCell ref="A74:B74"/>
    <mergeCell ref="C74:E74"/>
    <mergeCell ref="A75:B75"/>
    <mergeCell ref="C75:E75"/>
    <mergeCell ref="A76:B76"/>
    <mergeCell ref="C76:E76"/>
    <mergeCell ref="A77:B77"/>
    <mergeCell ref="C77:E77"/>
    <mergeCell ref="A78:B78"/>
    <mergeCell ref="C78:E78"/>
    <mergeCell ref="A79:B79"/>
    <mergeCell ref="C79:E79"/>
    <mergeCell ref="A80:B80"/>
    <mergeCell ref="C80:E80"/>
    <mergeCell ref="A81:B81"/>
    <mergeCell ref="C81:E81"/>
  </mergeCells>
  <dataValidations count="1">
    <dataValidation allowBlank="false" error="Choose an industry from the list." errorStyle="stop" errorTitle="Industry" operator="between" showDropDown="false" showErrorMessage="true" showInputMessage="false" sqref="B3" type="list">
      <formula1>OFFSET('Industry Labels'!$C$4,0,0,1,COUNTA('Industry Labels'!$C$4:$Z$4))</formula1>
      <formula2>0</formula2>
    </dataValidation>
  </dataValidations>
  <hyperlinks>
    <hyperlink ref="E53" r:id="rId1" display="Bank of Baroda BRLLR / SBI EBLR 2026"/>
    <hyperlink ref="E56" r:id="rId2" display="SBI SME / MSME WC rate 2026"/>
    <hyperlink ref="E70" r:id="rId3" display="Income Tax Act s.115BAA"/>
    <hyperlink ref="E71" r:id="rId4" display="CBIC GST rate finder"/>
    <hyperlink ref="C74" r:id="rId5" display="Open link ↗"/>
    <hyperlink ref="C75" r:id="rId6" display="Open link ↗"/>
    <hyperlink ref="C76" r:id="rId7" display="Open link ↗"/>
    <hyperlink ref="C77" r:id="rId8" display="Open link ↗"/>
    <hyperlink ref="C78" r:id="rId9" display="Open link ↗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4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4"/>
  </cols>
  <sheetData>
    <row r="1" customFormat="false" ht="21.75" hidden="false" customHeight="true" outlineLevel="0" collapsed="false">
      <c r="A1" s="47" t="s">
        <v>220</v>
      </c>
      <c r="B1" s="47"/>
      <c r="C1" s="47"/>
      <c r="D1" s="47"/>
      <c r="E1" s="47"/>
    </row>
    <row r="3" customFormat="false" ht="15" hidden="false" customHeight="true" outlineLevel="0" collapsed="false">
      <c r="A3" s="14" t="s">
        <v>221</v>
      </c>
      <c r="B3" s="14"/>
      <c r="C3" s="14"/>
      <c r="D3" s="14"/>
      <c r="E3" s="14"/>
    </row>
    <row r="4" customFormat="false" ht="15" hidden="false" customHeight="true" outlineLevel="0" collapsed="false">
      <c r="A4" s="81" t="s">
        <v>50</v>
      </c>
      <c r="B4" s="81" t="s">
        <v>222</v>
      </c>
      <c r="C4" s="81" t="s">
        <v>223</v>
      </c>
      <c r="D4" s="81" t="s">
        <v>224</v>
      </c>
      <c r="E4" s="81" t="s">
        <v>225</v>
      </c>
    </row>
    <row r="5" customFormat="false" ht="15" hidden="false" customHeight="true" outlineLevel="0" collapsed="false">
      <c r="A5" s="54"/>
      <c r="B5" s="56" t="s">
        <v>226</v>
      </c>
      <c r="C5" s="82"/>
      <c r="D5" s="83" t="s">
        <v>227</v>
      </c>
      <c r="E5" s="55" t="s">
        <v>228</v>
      </c>
    </row>
    <row r="6" customFormat="false" ht="15" hidden="false" customHeight="true" outlineLevel="0" collapsed="false">
      <c r="A6" s="54"/>
      <c r="B6" s="56" t="str">
        <f aca="false">IFERROR(INDEX('Industry Labels'!$C$15:$Z$15,MATCH(Assumptions!$B$3,'Industry Labels'!$C$4:$Z$4,0)),"Premises, building &amp; civil / fit-out")</f>
        <v>Premises, building &amp; civil / fit-out</v>
      </c>
      <c r="C6" s="82"/>
      <c r="D6" s="83" t="s">
        <v>229</v>
      </c>
      <c r="E6" s="55" t="s">
        <v>230</v>
      </c>
    </row>
    <row r="7" customFormat="false" ht="20.25" hidden="false" customHeight="true" outlineLevel="0" collapsed="false">
      <c r="A7" s="54"/>
      <c r="B7" s="56" t="str">
        <f aca="false">IFERROR(INDEX('Industry Labels'!$C$16:$Z$16,MATCH(Assumptions!$B$3,'Industry Labels'!$C$4:$Z$4,0)),"Equipment, machinery &amp; systems")</f>
        <v>Equipment, machinery &amp; systems</v>
      </c>
      <c r="C7" s="82"/>
      <c r="D7" s="83" t="s">
        <v>231</v>
      </c>
      <c r="E7" s="55" t="s">
        <v>232</v>
      </c>
    </row>
    <row r="8" customFormat="false" ht="15" hidden="false" customHeight="true" outlineLevel="0" collapsed="false">
      <c r="A8" s="54"/>
      <c r="B8" s="56" t="s">
        <v>233</v>
      </c>
      <c r="C8" s="82"/>
      <c r="D8" s="83" t="s">
        <v>234</v>
      </c>
      <c r="E8" s="55" t="s">
        <v>235</v>
      </c>
    </row>
    <row r="9" customFormat="false" ht="15" hidden="false" customHeight="true" outlineLevel="0" collapsed="false">
      <c r="A9" s="54"/>
      <c r="B9" s="56" t="s">
        <v>236</v>
      </c>
      <c r="C9" s="82"/>
      <c r="D9" s="83" t="s">
        <v>237</v>
      </c>
      <c r="E9" s="55" t="s">
        <v>238</v>
      </c>
    </row>
    <row r="10" customFormat="false" ht="15" hidden="false" customHeight="true" outlineLevel="0" collapsed="false">
      <c r="A10" s="54"/>
      <c r="B10" s="56" t="s">
        <v>239</v>
      </c>
      <c r="C10" s="82"/>
      <c r="D10" s="83" t="s">
        <v>240</v>
      </c>
      <c r="E10" s="55" t="s">
        <v>241</v>
      </c>
    </row>
    <row r="11" customFormat="false" ht="15" hidden="false" customHeight="true" outlineLevel="0" collapsed="false">
      <c r="A11" s="54"/>
      <c r="B11" s="56" t="s">
        <v>242</v>
      </c>
      <c r="C11" s="82"/>
      <c r="D11" s="83" t="s">
        <v>231</v>
      </c>
      <c r="E11" s="55" t="s">
        <v>243</v>
      </c>
    </row>
    <row r="12" customFormat="false" ht="15" hidden="false" customHeight="true" outlineLevel="0" collapsed="false">
      <c r="A12" s="54"/>
      <c r="B12" s="56" t="s">
        <v>244</v>
      </c>
      <c r="C12" s="82"/>
      <c r="D12" s="83" t="s">
        <v>245</v>
      </c>
      <c r="E12" s="55" t="s">
        <v>246</v>
      </c>
    </row>
    <row r="13" customFormat="false" ht="15" hidden="false" customHeight="true" outlineLevel="0" collapsed="false">
      <c r="A13" s="54"/>
      <c r="B13" s="56" t="s">
        <v>247</v>
      </c>
      <c r="C13" s="82"/>
      <c r="D13" s="83" t="s">
        <v>248</v>
      </c>
      <c r="E13" s="55" t="s">
        <v>249</v>
      </c>
    </row>
    <row r="14" customFormat="false" ht="15" hidden="false" customHeight="true" outlineLevel="0" collapsed="false">
      <c r="A14" s="84"/>
      <c r="B14" s="85" t="s">
        <v>250</v>
      </c>
      <c r="C14" s="86" t="n">
        <f aca="false">IFERROR(SUM(C5:C13),"")</f>
        <v>0</v>
      </c>
      <c r="D14" s="84"/>
      <c r="E14" s="84"/>
    </row>
    <row r="16" customFormat="false" ht="15" hidden="false" customHeight="true" outlineLevel="0" collapsed="false">
      <c r="A16" s="14" t="s">
        <v>251</v>
      </c>
      <c r="B16" s="14"/>
      <c r="C16" s="14"/>
      <c r="D16" s="14"/>
      <c r="E16" s="14"/>
    </row>
    <row r="17" customFormat="false" ht="15" hidden="false" customHeight="true" outlineLevel="0" collapsed="false">
      <c r="A17" s="81" t="s">
        <v>50</v>
      </c>
      <c r="B17" s="81" t="s">
        <v>252</v>
      </c>
      <c r="C17" s="81" t="s">
        <v>223</v>
      </c>
      <c r="D17" s="81" t="s">
        <v>253</v>
      </c>
      <c r="E17" s="81" t="s">
        <v>254</v>
      </c>
    </row>
    <row r="18" customFormat="false" ht="15" hidden="false" customHeight="true" outlineLevel="0" collapsed="false">
      <c r="A18" s="54"/>
      <c r="B18" s="45" t="s">
        <v>255</v>
      </c>
      <c r="C18" s="87" t="n">
        <f aca="false">IFERROR(Assumptions!$B$52,"")</f>
        <v>0</v>
      </c>
      <c r="D18" s="88" t="str">
        <f aca="false">IFERROR(C18/$C$14,"")</f>
        <v/>
      </c>
      <c r="E18" s="55" t="s">
        <v>256</v>
      </c>
    </row>
    <row r="19" customFormat="false" ht="15" hidden="false" customHeight="true" outlineLevel="0" collapsed="false">
      <c r="A19" s="54"/>
      <c r="B19" s="45" t="s">
        <v>257</v>
      </c>
      <c r="C19" s="87" t="n">
        <f aca="false">IFERROR(Assumptions!$B$51,"")</f>
        <v>0</v>
      </c>
      <c r="D19" s="88" t="str">
        <f aca="false">IFERROR(C19/$C$14,"")</f>
        <v/>
      </c>
      <c r="E19" s="55" t="s">
        <v>258</v>
      </c>
    </row>
    <row r="20" customFormat="false" ht="15" hidden="false" customHeight="true" outlineLevel="0" collapsed="false">
      <c r="A20" s="84"/>
      <c r="B20" s="85" t="s">
        <v>259</v>
      </c>
      <c r="C20" s="86" t="n">
        <f aca="false">IFERROR(SUM(C18:C19),"")</f>
        <v>0</v>
      </c>
      <c r="D20" s="89" t="str">
        <f aca="false">IFERROR(C20/$C$14,"")</f>
        <v/>
      </c>
      <c r="E20" s="84"/>
    </row>
    <row r="21" customFormat="false" ht="15" hidden="false" customHeight="true" outlineLevel="0" collapsed="false">
      <c r="B21" s="90" t="s">
        <v>260</v>
      </c>
      <c r="C21" s="91" t="n">
        <f aca="false">IFERROR(C14-C20,"")</f>
        <v>0</v>
      </c>
    </row>
    <row r="22" customFormat="false" ht="15" hidden="false" customHeight="true" outlineLevel="0" collapsed="false">
      <c r="B22" s="92" t="s">
        <v>261</v>
      </c>
      <c r="C22" s="93" t="str">
        <f aca="false">IFERROR(Assumptions!$B$51/Assumptions!$B$52,"")</f>
        <v/>
      </c>
    </row>
    <row r="23" customFormat="false" ht="15" hidden="false" customHeight="true" outlineLevel="0" collapsed="false">
      <c r="B23" s="92" t="s">
        <v>262</v>
      </c>
      <c r="C23" s="94" t="str">
        <f aca="false">IFERROR(Assumptions!$B$52/C14,"")</f>
        <v/>
      </c>
    </row>
  </sheetData>
  <mergeCells count="3">
    <mergeCell ref="A1:E1"/>
    <mergeCell ref="A3:E3"/>
    <mergeCell ref="A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7" min="7" style="1" width="11"/>
    <col collapsed="false" customWidth="true" hidden="false" outlineLevel="0" max="10" min="10" style="1" width="11"/>
    <col collapsed="false" customWidth="true" hidden="false" outlineLevel="0" max="13" min="13" style="1" width="11"/>
    <col collapsed="false" customWidth="true" hidden="false" outlineLevel="0" max="16" min="16" style="1" width="11"/>
  </cols>
  <sheetData>
    <row r="1" customFormat="false" ht="21.75" hidden="false" customHeight="true" outlineLevel="0" collapsed="false">
      <c r="A1" s="47" t="s">
        <v>263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</row>
    <row r="2" customFormat="false" ht="15" hidden="false" customHeight="true" outlineLevel="0" collapsed="false">
      <c r="A2" s="26" t="s">
        <v>264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</row>
    <row r="3" customFormat="false" ht="15" hidden="false" customHeight="true" outlineLevel="0" collapsed="false">
      <c r="A3" s="44"/>
      <c r="B3" s="44"/>
      <c r="C3" s="44"/>
      <c r="D3" s="95" t="s">
        <v>265</v>
      </c>
      <c r="E3" s="95"/>
      <c r="F3" s="95"/>
      <c r="G3" s="96" t="s">
        <v>266</v>
      </c>
      <c r="H3" s="96"/>
      <c r="I3" s="96"/>
      <c r="J3" s="95" t="s">
        <v>267</v>
      </c>
      <c r="K3" s="95"/>
      <c r="L3" s="95"/>
      <c r="M3" s="96" t="s">
        <v>268</v>
      </c>
      <c r="N3" s="96"/>
      <c r="O3" s="96"/>
      <c r="P3" s="95" t="s">
        <v>269</v>
      </c>
      <c r="Q3" s="95"/>
      <c r="R3" s="95"/>
    </row>
    <row r="4" customFormat="false" ht="15" hidden="false" customHeight="true" outlineLevel="0" collapsed="false">
      <c r="A4" s="28" t="s">
        <v>270</v>
      </c>
      <c r="B4" s="27" t="s">
        <v>271</v>
      </c>
      <c r="C4" s="27" t="s">
        <v>272</v>
      </c>
      <c r="D4" s="97" t="s">
        <v>273</v>
      </c>
      <c r="E4" s="97" t="s">
        <v>274</v>
      </c>
      <c r="F4" s="97" t="s">
        <v>275</v>
      </c>
      <c r="G4" s="97" t="s">
        <v>273</v>
      </c>
      <c r="H4" s="97" t="s">
        <v>274</v>
      </c>
      <c r="I4" s="97" t="s">
        <v>275</v>
      </c>
      <c r="J4" s="97" t="s">
        <v>273</v>
      </c>
      <c r="K4" s="97" t="s">
        <v>274</v>
      </c>
      <c r="L4" s="97" t="s">
        <v>275</v>
      </c>
      <c r="M4" s="97" t="s">
        <v>273</v>
      </c>
      <c r="N4" s="97" t="s">
        <v>274</v>
      </c>
      <c r="O4" s="97" t="s">
        <v>275</v>
      </c>
      <c r="P4" s="97" t="s">
        <v>273</v>
      </c>
      <c r="Q4" s="97" t="s">
        <v>274</v>
      </c>
      <c r="R4" s="97" t="s">
        <v>275</v>
      </c>
    </row>
    <row r="5" customFormat="false" ht="15" hidden="false" customHeight="true" outlineLevel="0" collapsed="false">
      <c r="A5" s="98" t="str">
        <f aca="false">IFERROR(INDEX('Industry Labels'!$C$15:$Z$15,MATCH(Assumptions!$B$3,'Industry Labels'!$C$4:$Z$4,0)),"Premises, building &amp; civil / fit-out")</f>
        <v>Premises, building &amp; civil / fit-out</v>
      </c>
      <c r="B5" s="87" t="n">
        <f aca="false">IFERROR('Project Cost'!$C$6,"")</f>
        <v>0</v>
      </c>
      <c r="C5" s="99" t="n">
        <f aca="false">IFERROR(Assumptions!$B$64,"")</f>
        <v>0</v>
      </c>
      <c r="D5" s="100" t="n">
        <f aca="false">IFERROR(B5,"")</f>
        <v>0</v>
      </c>
      <c r="E5" s="100" t="n">
        <f aca="false">IFERROR(MIN(D5,$B5*$C5),"")</f>
        <v>0</v>
      </c>
      <c r="F5" s="100" t="n">
        <f aca="false">IFERROR(D5-E5,"")</f>
        <v>0</v>
      </c>
      <c r="G5" s="100" t="n">
        <f aca="false">IFERROR(F5,"")</f>
        <v>0</v>
      </c>
      <c r="H5" s="100" t="n">
        <f aca="false">IFERROR(MIN(G5,$B5*$C5),"")</f>
        <v>0</v>
      </c>
      <c r="I5" s="100" t="n">
        <f aca="false">IFERROR(G5-H5,"")</f>
        <v>0</v>
      </c>
      <c r="J5" s="100" t="n">
        <f aca="false">IFERROR(I5,"")</f>
        <v>0</v>
      </c>
      <c r="K5" s="100" t="n">
        <f aca="false">IFERROR(MIN(J5,$B5*$C5),"")</f>
        <v>0</v>
      </c>
      <c r="L5" s="100" t="n">
        <f aca="false">IFERROR(J5-K5,"")</f>
        <v>0</v>
      </c>
      <c r="M5" s="100" t="n">
        <f aca="false">IFERROR(L5,"")</f>
        <v>0</v>
      </c>
      <c r="N5" s="100" t="n">
        <f aca="false">IFERROR(MIN(M5,$B5*$C5),"")</f>
        <v>0</v>
      </c>
      <c r="O5" s="100" t="n">
        <f aca="false">IFERROR(M5-N5,"")</f>
        <v>0</v>
      </c>
      <c r="P5" s="100" t="n">
        <f aca="false">IFERROR(O5,"")</f>
        <v>0</v>
      </c>
      <c r="Q5" s="100" t="n">
        <f aca="false">IFERROR(MIN(P5,$B5*$C5),"")</f>
        <v>0</v>
      </c>
      <c r="R5" s="100" t="n">
        <f aca="false">IFERROR(P5-Q5,"")</f>
        <v>0</v>
      </c>
    </row>
    <row r="6" customFormat="false" ht="15" hidden="false" customHeight="true" outlineLevel="0" collapsed="false">
      <c r="A6" s="98" t="str">
        <f aca="false">IFERROR(INDEX('Industry Labels'!$C$16:$Z$16,MATCH(Assumptions!$B$3,'Industry Labels'!$C$4:$Z$4,0)),"Equipment, machinery &amp; systems")&amp;" (+contingency)"</f>
        <v>Equipment, machinery &amp; systems (+contingency)</v>
      </c>
      <c r="B6" s="87" t="n">
        <f aca="false">IFERROR(('Project Cost'!$C$7+'Project Cost'!$C$11),"")</f>
        <v>0</v>
      </c>
      <c r="C6" s="99" t="n">
        <f aca="false">IFERROR(Assumptions!$B$65,"")</f>
        <v>0</v>
      </c>
      <c r="D6" s="100" t="n">
        <f aca="false">IFERROR(B6,"")</f>
        <v>0</v>
      </c>
      <c r="E6" s="100" t="n">
        <f aca="false">IFERROR(MIN(D6,$B6*$C6),"")</f>
        <v>0</v>
      </c>
      <c r="F6" s="100" t="n">
        <f aca="false">IFERROR(D6-E6,"")</f>
        <v>0</v>
      </c>
      <c r="G6" s="100" t="n">
        <f aca="false">IFERROR(F6,"")</f>
        <v>0</v>
      </c>
      <c r="H6" s="100" t="n">
        <f aca="false">IFERROR(MIN(G6,$B6*$C6),"")</f>
        <v>0</v>
      </c>
      <c r="I6" s="100" t="n">
        <f aca="false">IFERROR(G6-H6,"")</f>
        <v>0</v>
      </c>
      <c r="J6" s="100" t="n">
        <f aca="false">IFERROR(I6,"")</f>
        <v>0</v>
      </c>
      <c r="K6" s="100" t="n">
        <f aca="false">IFERROR(MIN(J6,$B6*$C6),"")</f>
        <v>0</v>
      </c>
      <c r="L6" s="100" t="n">
        <f aca="false">IFERROR(J6-K6,"")</f>
        <v>0</v>
      </c>
      <c r="M6" s="100" t="n">
        <f aca="false">IFERROR(L6,"")</f>
        <v>0</v>
      </c>
      <c r="N6" s="100" t="n">
        <f aca="false">IFERROR(MIN(M6,$B6*$C6),"")</f>
        <v>0</v>
      </c>
      <c r="O6" s="100" t="n">
        <f aca="false">IFERROR(M6-N6,"")</f>
        <v>0</v>
      </c>
      <c r="P6" s="100" t="n">
        <f aca="false">IFERROR(O6,"")</f>
        <v>0</v>
      </c>
      <c r="Q6" s="100" t="n">
        <f aca="false">IFERROR(MIN(P6,$B6*$C6),"")</f>
        <v>0</v>
      </c>
      <c r="R6" s="100" t="n">
        <f aca="false">IFERROR(P6-Q6,"")</f>
        <v>0</v>
      </c>
    </row>
    <row r="7" customFormat="false" ht="15" hidden="false" customHeight="true" outlineLevel="0" collapsed="false">
      <c r="A7" s="98" t="s">
        <v>276</v>
      </c>
      <c r="B7" s="87" t="n">
        <f aca="false">IFERROR('Project Cost'!$C$8,"")</f>
        <v>0</v>
      </c>
      <c r="C7" s="99" t="n">
        <f aca="false">IFERROR(Assumptions!$B$66,"")</f>
        <v>0</v>
      </c>
      <c r="D7" s="100" t="n">
        <f aca="false">IFERROR(B7,"")</f>
        <v>0</v>
      </c>
      <c r="E7" s="100" t="n">
        <f aca="false">IFERROR(MIN(D7,$B7*$C7),"")</f>
        <v>0</v>
      </c>
      <c r="F7" s="100" t="n">
        <f aca="false">IFERROR(D7-E7,"")</f>
        <v>0</v>
      </c>
      <c r="G7" s="100" t="n">
        <f aca="false">IFERROR(F7,"")</f>
        <v>0</v>
      </c>
      <c r="H7" s="100" t="n">
        <f aca="false">IFERROR(MIN(G7,$B7*$C7),"")</f>
        <v>0</v>
      </c>
      <c r="I7" s="100" t="n">
        <f aca="false">IFERROR(G7-H7,"")</f>
        <v>0</v>
      </c>
      <c r="J7" s="100" t="n">
        <f aca="false">IFERROR(I7,"")</f>
        <v>0</v>
      </c>
      <c r="K7" s="100" t="n">
        <f aca="false">IFERROR(MIN(J7,$B7*$C7),"")</f>
        <v>0</v>
      </c>
      <c r="L7" s="100" t="n">
        <f aca="false">IFERROR(J7-K7,"")</f>
        <v>0</v>
      </c>
      <c r="M7" s="100" t="n">
        <f aca="false">IFERROR(L7,"")</f>
        <v>0</v>
      </c>
      <c r="N7" s="100" t="n">
        <f aca="false">IFERROR(MIN(M7,$B7*$C7),"")</f>
        <v>0</v>
      </c>
      <c r="O7" s="100" t="n">
        <f aca="false">IFERROR(M7-N7,"")</f>
        <v>0</v>
      </c>
      <c r="P7" s="100" t="n">
        <f aca="false">IFERROR(O7,"")</f>
        <v>0</v>
      </c>
      <c r="Q7" s="100" t="n">
        <f aca="false">IFERROR(MIN(P7,$B7*$C7),"")</f>
        <v>0</v>
      </c>
      <c r="R7" s="100" t="n">
        <f aca="false">IFERROR(P7-Q7,"")</f>
        <v>0</v>
      </c>
    </row>
    <row r="8" customFormat="false" ht="15" hidden="false" customHeight="true" outlineLevel="0" collapsed="false">
      <c r="A8" s="98" t="s">
        <v>237</v>
      </c>
      <c r="B8" s="87" t="n">
        <f aca="false">IFERROR('Project Cost'!$C$9,"")</f>
        <v>0</v>
      </c>
      <c r="C8" s="99" t="n">
        <f aca="false">IFERROR(Assumptions!$B$67,"")</f>
        <v>0</v>
      </c>
      <c r="D8" s="100" t="n">
        <f aca="false">IFERROR(B8,"")</f>
        <v>0</v>
      </c>
      <c r="E8" s="100" t="n">
        <f aca="false">IFERROR(MIN(D8,$B8*$C8),"")</f>
        <v>0</v>
      </c>
      <c r="F8" s="100" t="n">
        <f aca="false">IFERROR(D8-E8,"")</f>
        <v>0</v>
      </c>
      <c r="G8" s="100" t="n">
        <f aca="false">IFERROR(F8,"")</f>
        <v>0</v>
      </c>
      <c r="H8" s="100" t="n">
        <f aca="false">IFERROR(MIN(G8,$B8*$C8),"")</f>
        <v>0</v>
      </c>
      <c r="I8" s="100" t="n">
        <f aca="false">IFERROR(G8-H8,"")</f>
        <v>0</v>
      </c>
      <c r="J8" s="100" t="n">
        <f aca="false">IFERROR(I8,"")</f>
        <v>0</v>
      </c>
      <c r="K8" s="100" t="n">
        <f aca="false">IFERROR(MIN(J8,$B8*$C8),"")</f>
        <v>0</v>
      </c>
      <c r="L8" s="100" t="n">
        <f aca="false">IFERROR(J8-K8,"")</f>
        <v>0</v>
      </c>
      <c r="M8" s="100" t="n">
        <f aca="false">IFERROR(L8,"")</f>
        <v>0</v>
      </c>
      <c r="N8" s="100" t="n">
        <f aca="false">IFERROR(MIN(M8,$B8*$C8),"")</f>
        <v>0</v>
      </c>
      <c r="O8" s="100" t="n">
        <f aca="false">IFERROR(M8-N8,"")</f>
        <v>0</v>
      </c>
      <c r="P8" s="100" t="n">
        <f aca="false">IFERROR(O8,"")</f>
        <v>0</v>
      </c>
      <c r="Q8" s="100" t="n">
        <f aca="false">IFERROR(MIN(P8,$B8*$C8),"")</f>
        <v>0</v>
      </c>
      <c r="R8" s="100" t="n">
        <f aca="false">IFERROR(P8-Q8,"")</f>
        <v>0</v>
      </c>
    </row>
    <row r="9" customFormat="false" ht="15" hidden="false" customHeight="true" outlineLevel="0" collapsed="false">
      <c r="A9" s="98" t="s">
        <v>277</v>
      </c>
      <c r="B9" s="87" t="n">
        <f aca="false">IFERROR('Project Cost'!$C$10,"")</f>
        <v>0</v>
      </c>
      <c r="C9" s="99" t="n">
        <f aca="false">IFERROR(Assumptions!$B$68,"")</f>
        <v>0</v>
      </c>
      <c r="D9" s="100" t="n">
        <f aca="false">IFERROR(B9,"")</f>
        <v>0</v>
      </c>
      <c r="E9" s="100" t="n">
        <f aca="false">IFERROR(MIN(D9,$B9*$C9),"")</f>
        <v>0</v>
      </c>
      <c r="F9" s="100" t="n">
        <f aca="false">IFERROR(D9-E9,"")</f>
        <v>0</v>
      </c>
      <c r="G9" s="100" t="n">
        <f aca="false">IFERROR(F9,"")</f>
        <v>0</v>
      </c>
      <c r="H9" s="100" t="n">
        <f aca="false">IFERROR(MIN(G9,$B9*$C9),"")</f>
        <v>0</v>
      </c>
      <c r="I9" s="100" t="n">
        <f aca="false">IFERROR(G9-H9,"")</f>
        <v>0</v>
      </c>
      <c r="J9" s="100" t="n">
        <f aca="false">IFERROR(I9,"")</f>
        <v>0</v>
      </c>
      <c r="K9" s="100" t="n">
        <f aca="false">IFERROR(MIN(J9,$B9*$C9),"")</f>
        <v>0</v>
      </c>
      <c r="L9" s="100" t="n">
        <f aca="false">IFERROR(J9-K9,"")</f>
        <v>0</v>
      </c>
      <c r="M9" s="100" t="n">
        <f aca="false">IFERROR(L9,"")</f>
        <v>0</v>
      </c>
      <c r="N9" s="100" t="n">
        <f aca="false">IFERROR(MIN(M9,$B9*$C9),"")</f>
        <v>0</v>
      </c>
      <c r="O9" s="100" t="n">
        <f aca="false">IFERROR(M9-N9,"")</f>
        <v>0</v>
      </c>
      <c r="P9" s="100" t="n">
        <f aca="false">IFERROR(O9,"")</f>
        <v>0</v>
      </c>
      <c r="Q9" s="100" t="n">
        <f aca="false">IFERROR(MIN(P9,$B9*$C9),"")</f>
        <v>0</v>
      </c>
      <c r="R9" s="100" t="n">
        <f aca="false">IFERROR(P9-Q9,"")</f>
        <v>0</v>
      </c>
    </row>
    <row r="10" customFormat="false" ht="15" hidden="false" customHeight="true" outlineLevel="0" collapsed="false">
      <c r="A10" s="45" t="s">
        <v>278</v>
      </c>
      <c r="B10" s="87" t="n">
        <f aca="false">IFERROR('Project Cost'!$C$12,"")</f>
        <v>0</v>
      </c>
      <c r="C10" s="99" t="n">
        <f aca="false">IFERROR(Assumptions!$B$69,"")</f>
        <v>0</v>
      </c>
      <c r="D10" s="100" t="n">
        <f aca="false">IFERROR(B10,"")</f>
        <v>0</v>
      </c>
      <c r="E10" s="100" t="n">
        <f aca="false">IFERROR(MIN(D10,$B10*$C10),"")</f>
        <v>0</v>
      </c>
      <c r="F10" s="100" t="n">
        <f aca="false">IFERROR(D10-E10,"")</f>
        <v>0</v>
      </c>
      <c r="G10" s="100" t="n">
        <f aca="false">IFERROR(F10,"")</f>
        <v>0</v>
      </c>
      <c r="H10" s="100" t="n">
        <f aca="false">IFERROR(MIN(G10,$B10*$C10),"")</f>
        <v>0</v>
      </c>
      <c r="I10" s="100" t="n">
        <f aca="false">IFERROR(G10-H10,"")</f>
        <v>0</v>
      </c>
      <c r="J10" s="100" t="n">
        <f aca="false">IFERROR(I10,"")</f>
        <v>0</v>
      </c>
      <c r="K10" s="100" t="n">
        <f aca="false">IFERROR(MIN(J10,$B10*$C10),"")</f>
        <v>0</v>
      </c>
      <c r="L10" s="100" t="n">
        <f aca="false">IFERROR(J10-K10,"")</f>
        <v>0</v>
      </c>
      <c r="M10" s="100" t="n">
        <f aca="false">IFERROR(L10,"")</f>
        <v>0</v>
      </c>
      <c r="N10" s="100" t="n">
        <f aca="false">IFERROR(MIN(M10,$B10*$C10),"")</f>
        <v>0</v>
      </c>
      <c r="O10" s="100" t="n">
        <f aca="false">IFERROR(M10-N10,"")</f>
        <v>0</v>
      </c>
      <c r="P10" s="100" t="n">
        <f aca="false">IFERROR(O10,"")</f>
        <v>0</v>
      </c>
      <c r="Q10" s="100" t="n">
        <f aca="false">IFERROR(MIN(P10,$B10*$C10),"")</f>
        <v>0</v>
      </c>
      <c r="R10" s="100" t="n">
        <f aca="false">IFERROR(P10-Q10,"")</f>
        <v>0</v>
      </c>
    </row>
    <row r="11" customFormat="false" ht="15" hidden="false" customHeight="true" outlineLevel="0" collapsed="false">
      <c r="A11" s="85" t="s">
        <v>279</v>
      </c>
      <c r="B11" s="84"/>
      <c r="C11" s="84"/>
      <c r="D11" s="84"/>
      <c r="E11" s="86" t="n">
        <f aca="false">IFERROR(SUM(E5:E10),"")</f>
        <v>0</v>
      </c>
      <c r="F11" s="84"/>
      <c r="G11" s="84"/>
      <c r="H11" s="86" t="n">
        <f aca="false">IFERROR(SUM(H5:H10),"")</f>
        <v>0</v>
      </c>
      <c r="I11" s="84"/>
      <c r="J11" s="84"/>
      <c r="K11" s="86" t="n">
        <f aca="false">IFERROR(SUM(K5:K10),"")</f>
        <v>0</v>
      </c>
      <c r="L11" s="84"/>
      <c r="M11" s="84"/>
      <c r="N11" s="86" t="n">
        <f aca="false">IFERROR(SUM(N5:N10),"")</f>
        <v>0</v>
      </c>
      <c r="O11" s="84"/>
      <c r="P11" s="84"/>
      <c r="Q11" s="86" t="n">
        <f aca="false">IFERROR(SUM(Q5:Q10),"")</f>
        <v>0</v>
      </c>
      <c r="R11" s="84"/>
    </row>
    <row r="13" customFormat="false" ht="15" hidden="false" customHeight="true" outlineLevel="0" collapsed="false">
      <c r="A13" s="101" t="s">
        <v>280</v>
      </c>
      <c r="F13" s="102" t="n">
        <f aca="false">IFERROR(SUM(F5:F9)+'Project Cost'!$C$5,"")</f>
        <v>0</v>
      </c>
      <c r="I13" s="102" t="n">
        <f aca="false">IFERROR(SUM(I5:I9)+'Project Cost'!$C$5,"")</f>
        <v>0</v>
      </c>
      <c r="L13" s="102" t="n">
        <f aca="false">IFERROR(SUM(L5:L9)+'Project Cost'!$C$5,"")</f>
        <v>0</v>
      </c>
      <c r="O13" s="102" t="n">
        <f aca="false">IFERROR(SUM(O5:O9)+'Project Cost'!$C$5,"")</f>
        <v>0</v>
      </c>
      <c r="R13" s="102" t="n">
        <f aca="false">IFERROR(SUM(R5:R9)+'Project Cost'!$C$5,"")</f>
        <v>0</v>
      </c>
    </row>
    <row r="14" customFormat="false" ht="15" hidden="false" customHeight="true" outlineLevel="0" collapsed="false">
      <c r="A14" s="101" t="s">
        <v>281</v>
      </c>
      <c r="F14" s="103" t="n">
        <f aca="false">IFERROR(F10,"")</f>
        <v>0</v>
      </c>
      <c r="I14" s="103" t="n">
        <f aca="false">IFERROR(I10,"")</f>
        <v>0</v>
      </c>
      <c r="L14" s="103" t="n">
        <f aca="false">IFERROR(L10,"")</f>
        <v>0</v>
      </c>
      <c r="O14" s="103" t="n">
        <f aca="false">IFERROR(O10,"")</f>
        <v>0</v>
      </c>
      <c r="R14" s="103" t="n">
        <f aca="false">IFERROR(R10,"")</f>
        <v>0</v>
      </c>
    </row>
  </sheetData>
  <mergeCells count="7">
    <mergeCell ref="A1:P1"/>
    <mergeCell ref="A2:P2"/>
    <mergeCell ref="D3:F3"/>
    <mergeCell ref="G3:I3"/>
    <mergeCell ref="J3:L3"/>
    <mergeCell ref="M3:O3"/>
    <mergeCell ref="P3:R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2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62" min="3" style="1" width="10.57"/>
  </cols>
  <sheetData>
    <row r="1" customFormat="false" ht="21.75" hidden="false" customHeight="true" outlineLevel="0" collapsed="false">
      <c r="A1" s="47" t="s">
        <v>282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</row>
    <row r="2" customFormat="false" ht="15" hidden="false" customHeight="true" outlineLevel="0" collapsed="false">
      <c r="A2" s="26" t="s">
        <v>283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</row>
    <row r="3" customFormat="false" ht="15" hidden="false" customHeight="true" outlineLevel="0" collapsed="false">
      <c r="A3" s="104"/>
      <c r="B3" s="104"/>
      <c r="C3" s="105" t="str">
        <f aca="false">"YEAR 1   •   FY"&amp;(IF(ISNUMBER(Assumptions!$B$6),Assumptions!$B$6,2026)+0)&amp;"-"&amp;RIGHT((IF(ISNUMBER(Assumptions!$B$6),Assumptions!$B$6,2026)+0+1),2)</f>
        <v>YEAR 1   •   FY2026-27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6" t="str">
        <f aca="false">"YEAR 2   •   FY"&amp;(IF(ISNUMBER(Assumptions!$B$6),Assumptions!$B$6,2026)+1)&amp;"-"&amp;RIGHT((IF(ISNUMBER(Assumptions!$B$6),Assumptions!$B$6,2026)+1+1),2)</f>
        <v>YEAR 2   •   FY2027-28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5" t="str">
        <f aca="false">"YEAR 3   •   FY"&amp;(IF(ISNUMBER(Assumptions!$B$6),Assumptions!$B$6,2026)+2)&amp;"-"&amp;RIGHT((IF(ISNUMBER(Assumptions!$B$6),Assumptions!$B$6,2026)+2+1),2)</f>
        <v>YEAR 3   •   FY2028-29</v>
      </c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 t="str">
        <f aca="false">"YEAR 4   •   FY"&amp;(IF(ISNUMBER(Assumptions!$B$6),Assumptions!$B$6,2026)+3)&amp;"-"&amp;RIGHT((IF(ISNUMBER(Assumptions!$B$6),Assumptions!$B$6,2026)+3+1),2)</f>
        <v>YEAR 4   •   FY2029-30</v>
      </c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5" t="str">
        <f aca="false">"YEAR 5   •   FY"&amp;(IF(ISNUMBER(Assumptions!$B$6),Assumptions!$B$6,2026)+4)&amp;"-"&amp;RIGHT((IF(ISNUMBER(Assumptions!$B$6),Assumptions!$B$6,2026)+4+1),2)</f>
        <v>YEAR 5   •   FY2030-31</v>
      </c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</row>
    <row r="4" customFormat="false" ht="15" hidden="false" customHeight="true" outlineLevel="0" collapsed="false">
      <c r="A4" s="107" t="s">
        <v>284</v>
      </c>
      <c r="B4" s="108" t="s">
        <v>285</v>
      </c>
      <c r="C4" s="109" t="n">
        <f aca="false">DATE(IF(ISNUMBER(Assumptions!$B$6),Assumptions!$B$6,2026),4+0,1)</f>
        <v>46113</v>
      </c>
      <c r="D4" s="109" t="n">
        <f aca="false">DATE(IF(ISNUMBER(Assumptions!$B$6),Assumptions!$B$6,2026),4+1,1)</f>
        <v>46143</v>
      </c>
      <c r="E4" s="109" t="n">
        <f aca="false">DATE(IF(ISNUMBER(Assumptions!$B$6),Assumptions!$B$6,2026),4+2,1)</f>
        <v>46174</v>
      </c>
      <c r="F4" s="109" t="n">
        <f aca="false">DATE(IF(ISNUMBER(Assumptions!$B$6),Assumptions!$B$6,2026),4+3,1)</f>
        <v>46204</v>
      </c>
      <c r="G4" s="109" t="n">
        <f aca="false">DATE(IF(ISNUMBER(Assumptions!$B$6),Assumptions!$B$6,2026),4+4,1)</f>
        <v>46235</v>
      </c>
      <c r="H4" s="109" t="n">
        <f aca="false">DATE(IF(ISNUMBER(Assumptions!$B$6),Assumptions!$B$6,2026),4+5,1)</f>
        <v>46266</v>
      </c>
      <c r="I4" s="109" t="n">
        <f aca="false">DATE(IF(ISNUMBER(Assumptions!$B$6),Assumptions!$B$6,2026),4+6,1)</f>
        <v>46296</v>
      </c>
      <c r="J4" s="109" t="n">
        <f aca="false">DATE(IF(ISNUMBER(Assumptions!$B$6),Assumptions!$B$6,2026),4+7,1)</f>
        <v>46327</v>
      </c>
      <c r="K4" s="109" t="n">
        <f aca="false">DATE(IF(ISNUMBER(Assumptions!$B$6),Assumptions!$B$6,2026),4+8,1)</f>
        <v>46357</v>
      </c>
      <c r="L4" s="109" t="n">
        <f aca="false">DATE(IF(ISNUMBER(Assumptions!$B$6),Assumptions!$B$6,2026),4+9,1)</f>
        <v>46388</v>
      </c>
      <c r="M4" s="109" t="n">
        <f aca="false">DATE(IF(ISNUMBER(Assumptions!$B$6),Assumptions!$B$6,2026),4+10,1)</f>
        <v>46419</v>
      </c>
      <c r="N4" s="109" t="n">
        <f aca="false">DATE(IF(ISNUMBER(Assumptions!$B$6),Assumptions!$B$6,2026),4+11,1)</f>
        <v>46447</v>
      </c>
      <c r="O4" s="109" t="n">
        <f aca="false">DATE(IF(ISNUMBER(Assumptions!$B$6),Assumptions!$B$6,2026),4+12,1)</f>
        <v>46478</v>
      </c>
      <c r="P4" s="109" t="n">
        <f aca="false">DATE(IF(ISNUMBER(Assumptions!$B$6),Assumptions!$B$6,2026),4+13,1)</f>
        <v>46508</v>
      </c>
      <c r="Q4" s="109" t="n">
        <f aca="false">DATE(IF(ISNUMBER(Assumptions!$B$6),Assumptions!$B$6,2026),4+14,1)</f>
        <v>46539</v>
      </c>
      <c r="R4" s="109" t="n">
        <f aca="false">DATE(IF(ISNUMBER(Assumptions!$B$6),Assumptions!$B$6,2026),4+15,1)</f>
        <v>46569</v>
      </c>
      <c r="S4" s="109" t="n">
        <f aca="false">DATE(IF(ISNUMBER(Assumptions!$B$6),Assumptions!$B$6,2026),4+16,1)</f>
        <v>46600</v>
      </c>
      <c r="T4" s="109" t="n">
        <f aca="false">DATE(IF(ISNUMBER(Assumptions!$B$6),Assumptions!$B$6,2026),4+17,1)</f>
        <v>46631</v>
      </c>
      <c r="U4" s="109" t="n">
        <f aca="false">DATE(IF(ISNUMBER(Assumptions!$B$6),Assumptions!$B$6,2026),4+18,1)</f>
        <v>46661</v>
      </c>
      <c r="V4" s="109" t="n">
        <f aca="false">DATE(IF(ISNUMBER(Assumptions!$B$6),Assumptions!$B$6,2026),4+19,1)</f>
        <v>46692</v>
      </c>
      <c r="W4" s="109" t="n">
        <f aca="false">DATE(IF(ISNUMBER(Assumptions!$B$6),Assumptions!$B$6,2026),4+20,1)</f>
        <v>46722</v>
      </c>
      <c r="X4" s="109" t="n">
        <f aca="false">DATE(IF(ISNUMBER(Assumptions!$B$6),Assumptions!$B$6,2026),4+21,1)</f>
        <v>46753</v>
      </c>
      <c r="Y4" s="109" t="n">
        <f aca="false">DATE(IF(ISNUMBER(Assumptions!$B$6),Assumptions!$B$6,2026),4+22,1)</f>
        <v>46784</v>
      </c>
      <c r="Z4" s="109" t="n">
        <f aca="false">DATE(IF(ISNUMBER(Assumptions!$B$6),Assumptions!$B$6,2026),4+23,1)</f>
        <v>46813</v>
      </c>
      <c r="AA4" s="109" t="n">
        <f aca="false">DATE(IF(ISNUMBER(Assumptions!$B$6),Assumptions!$B$6,2026),4+24,1)</f>
        <v>46844</v>
      </c>
      <c r="AB4" s="109" t="n">
        <f aca="false">DATE(IF(ISNUMBER(Assumptions!$B$6),Assumptions!$B$6,2026),4+25,1)</f>
        <v>46874</v>
      </c>
      <c r="AC4" s="109" t="n">
        <f aca="false">DATE(IF(ISNUMBER(Assumptions!$B$6),Assumptions!$B$6,2026),4+26,1)</f>
        <v>46905</v>
      </c>
      <c r="AD4" s="109" t="n">
        <f aca="false">DATE(IF(ISNUMBER(Assumptions!$B$6),Assumptions!$B$6,2026),4+27,1)</f>
        <v>46935</v>
      </c>
      <c r="AE4" s="109" t="n">
        <f aca="false">DATE(IF(ISNUMBER(Assumptions!$B$6),Assumptions!$B$6,2026),4+28,1)</f>
        <v>46966</v>
      </c>
      <c r="AF4" s="109" t="n">
        <f aca="false">DATE(IF(ISNUMBER(Assumptions!$B$6),Assumptions!$B$6,2026),4+29,1)</f>
        <v>46997</v>
      </c>
      <c r="AG4" s="109" t="n">
        <f aca="false">DATE(IF(ISNUMBER(Assumptions!$B$6),Assumptions!$B$6,2026),4+30,1)</f>
        <v>47027</v>
      </c>
      <c r="AH4" s="109" t="n">
        <f aca="false">DATE(IF(ISNUMBER(Assumptions!$B$6),Assumptions!$B$6,2026),4+31,1)</f>
        <v>47058</v>
      </c>
      <c r="AI4" s="109" t="n">
        <f aca="false">DATE(IF(ISNUMBER(Assumptions!$B$6),Assumptions!$B$6,2026),4+32,1)</f>
        <v>47088</v>
      </c>
      <c r="AJ4" s="109" t="n">
        <f aca="false">DATE(IF(ISNUMBER(Assumptions!$B$6),Assumptions!$B$6,2026),4+33,1)</f>
        <v>47119</v>
      </c>
      <c r="AK4" s="109" t="n">
        <f aca="false">DATE(IF(ISNUMBER(Assumptions!$B$6),Assumptions!$B$6,2026),4+34,1)</f>
        <v>47150</v>
      </c>
      <c r="AL4" s="109" t="n">
        <f aca="false">DATE(IF(ISNUMBER(Assumptions!$B$6),Assumptions!$B$6,2026),4+35,1)</f>
        <v>47178</v>
      </c>
      <c r="AM4" s="109" t="n">
        <f aca="false">DATE(IF(ISNUMBER(Assumptions!$B$6),Assumptions!$B$6,2026),4+36,1)</f>
        <v>47209</v>
      </c>
      <c r="AN4" s="109" t="n">
        <f aca="false">DATE(IF(ISNUMBER(Assumptions!$B$6),Assumptions!$B$6,2026),4+37,1)</f>
        <v>47239</v>
      </c>
      <c r="AO4" s="109" t="n">
        <f aca="false">DATE(IF(ISNUMBER(Assumptions!$B$6),Assumptions!$B$6,2026),4+38,1)</f>
        <v>47270</v>
      </c>
      <c r="AP4" s="109" t="n">
        <f aca="false">DATE(IF(ISNUMBER(Assumptions!$B$6),Assumptions!$B$6,2026),4+39,1)</f>
        <v>47300</v>
      </c>
      <c r="AQ4" s="109" t="n">
        <f aca="false">DATE(IF(ISNUMBER(Assumptions!$B$6),Assumptions!$B$6,2026),4+40,1)</f>
        <v>47331</v>
      </c>
      <c r="AR4" s="109" t="n">
        <f aca="false">DATE(IF(ISNUMBER(Assumptions!$B$6),Assumptions!$B$6,2026),4+41,1)</f>
        <v>47362</v>
      </c>
      <c r="AS4" s="109" t="n">
        <f aca="false">DATE(IF(ISNUMBER(Assumptions!$B$6),Assumptions!$B$6,2026),4+42,1)</f>
        <v>47392</v>
      </c>
      <c r="AT4" s="109" t="n">
        <f aca="false">DATE(IF(ISNUMBER(Assumptions!$B$6),Assumptions!$B$6,2026),4+43,1)</f>
        <v>47423</v>
      </c>
      <c r="AU4" s="109" t="n">
        <f aca="false">DATE(IF(ISNUMBER(Assumptions!$B$6),Assumptions!$B$6,2026),4+44,1)</f>
        <v>47453</v>
      </c>
      <c r="AV4" s="109" t="n">
        <f aca="false">DATE(IF(ISNUMBER(Assumptions!$B$6),Assumptions!$B$6,2026),4+45,1)</f>
        <v>47484</v>
      </c>
      <c r="AW4" s="109" t="n">
        <f aca="false">DATE(IF(ISNUMBER(Assumptions!$B$6),Assumptions!$B$6,2026),4+46,1)</f>
        <v>47515</v>
      </c>
      <c r="AX4" s="109" t="n">
        <f aca="false">DATE(IF(ISNUMBER(Assumptions!$B$6),Assumptions!$B$6,2026),4+47,1)</f>
        <v>47543</v>
      </c>
      <c r="AY4" s="109" t="n">
        <f aca="false">DATE(IF(ISNUMBER(Assumptions!$B$6),Assumptions!$B$6,2026),4+48,1)</f>
        <v>47574</v>
      </c>
      <c r="AZ4" s="109" t="n">
        <f aca="false">DATE(IF(ISNUMBER(Assumptions!$B$6),Assumptions!$B$6,2026),4+49,1)</f>
        <v>47604</v>
      </c>
      <c r="BA4" s="109" t="n">
        <f aca="false">DATE(IF(ISNUMBER(Assumptions!$B$6),Assumptions!$B$6,2026),4+50,1)</f>
        <v>47635</v>
      </c>
      <c r="BB4" s="109" t="n">
        <f aca="false">DATE(IF(ISNUMBER(Assumptions!$B$6),Assumptions!$B$6,2026),4+51,1)</f>
        <v>47665</v>
      </c>
      <c r="BC4" s="109" t="n">
        <f aca="false">DATE(IF(ISNUMBER(Assumptions!$B$6),Assumptions!$B$6,2026),4+52,1)</f>
        <v>47696</v>
      </c>
      <c r="BD4" s="109" t="n">
        <f aca="false">DATE(IF(ISNUMBER(Assumptions!$B$6),Assumptions!$B$6,2026),4+53,1)</f>
        <v>47727</v>
      </c>
      <c r="BE4" s="109" t="n">
        <f aca="false">DATE(IF(ISNUMBER(Assumptions!$B$6),Assumptions!$B$6,2026),4+54,1)</f>
        <v>47757</v>
      </c>
      <c r="BF4" s="109" t="n">
        <f aca="false">DATE(IF(ISNUMBER(Assumptions!$B$6),Assumptions!$B$6,2026),4+55,1)</f>
        <v>47788</v>
      </c>
      <c r="BG4" s="109" t="n">
        <f aca="false">DATE(IF(ISNUMBER(Assumptions!$B$6),Assumptions!$B$6,2026),4+56,1)</f>
        <v>47818</v>
      </c>
      <c r="BH4" s="109" t="n">
        <f aca="false">DATE(IF(ISNUMBER(Assumptions!$B$6),Assumptions!$B$6,2026),4+57,1)</f>
        <v>47849</v>
      </c>
      <c r="BI4" s="109" t="n">
        <f aca="false">DATE(IF(ISNUMBER(Assumptions!$B$6),Assumptions!$B$6,2026),4+58,1)</f>
        <v>47880</v>
      </c>
      <c r="BJ4" s="109" t="n">
        <f aca="false">DATE(IF(ISNUMBER(Assumptions!$B$6),Assumptions!$B$6,2026),4+59,1)</f>
        <v>47908</v>
      </c>
    </row>
    <row r="5" customFormat="false" ht="15" hidden="false" customHeight="true" outlineLevel="0" collapsed="false">
      <c r="A5" s="110" t="s">
        <v>286</v>
      </c>
      <c r="C5" s="111" t="n">
        <v>1</v>
      </c>
      <c r="D5" s="111" t="n">
        <v>2</v>
      </c>
      <c r="E5" s="111" t="n">
        <v>3</v>
      </c>
      <c r="F5" s="111" t="n">
        <v>4</v>
      </c>
      <c r="G5" s="111" t="n">
        <v>5</v>
      </c>
      <c r="H5" s="111" t="n">
        <v>6</v>
      </c>
      <c r="I5" s="111" t="n">
        <v>7</v>
      </c>
      <c r="J5" s="111" t="n">
        <v>8</v>
      </c>
      <c r="K5" s="111" t="n">
        <v>9</v>
      </c>
      <c r="L5" s="111" t="n">
        <v>10</v>
      </c>
      <c r="M5" s="111" t="n">
        <v>11</v>
      </c>
      <c r="N5" s="111" t="n">
        <v>12</v>
      </c>
      <c r="O5" s="111" t="n">
        <v>13</v>
      </c>
      <c r="P5" s="111" t="n">
        <v>14</v>
      </c>
      <c r="Q5" s="111" t="n">
        <v>15</v>
      </c>
      <c r="R5" s="111" t="n">
        <v>16</v>
      </c>
      <c r="S5" s="111" t="n">
        <v>17</v>
      </c>
      <c r="T5" s="111" t="n">
        <v>18</v>
      </c>
      <c r="U5" s="111" t="n">
        <v>19</v>
      </c>
      <c r="V5" s="111" t="n">
        <v>20</v>
      </c>
      <c r="W5" s="111" t="n">
        <v>21</v>
      </c>
      <c r="X5" s="111" t="n">
        <v>22</v>
      </c>
      <c r="Y5" s="111" t="n">
        <v>23</v>
      </c>
      <c r="Z5" s="111" t="n">
        <v>24</v>
      </c>
      <c r="AA5" s="111" t="n">
        <v>25</v>
      </c>
      <c r="AB5" s="111" t="n">
        <v>26</v>
      </c>
      <c r="AC5" s="111" t="n">
        <v>27</v>
      </c>
      <c r="AD5" s="111" t="n">
        <v>28</v>
      </c>
      <c r="AE5" s="111" t="n">
        <v>29</v>
      </c>
      <c r="AF5" s="111" t="n">
        <v>30</v>
      </c>
      <c r="AG5" s="111" t="n">
        <v>31</v>
      </c>
      <c r="AH5" s="111" t="n">
        <v>32</v>
      </c>
      <c r="AI5" s="111" t="n">
        <v>33</v>
      </c>
      <c r="AJ5" s="111" t="n">
        <v>34</v>
      </c>
      <c r="AK5" s="111" t="n">
        <v>35</v>
      </c>
      <c r="AL5" s="111" t="n">
        <v>36</v>
      </c>
      <c r="AM5" s="111" t="n">
        <v>37</v>
      </c>
      <c r="AN5" s="111" t="n">
        <v>38</v>
      </c>
      <c r="AO5" s="111" t="n">
        <v>39</v>
      </c>
      <c r="AP5" s="111" t="n">
        <v>40</v>
      </c>
      <c r="AQ5" s="111" t="n">
        <v>41</v>
      </c>
      <c r="AR5" s="111" t="n">
        <v>42</v>
      </c>
      <c r="AS5" s="111" t="n">
        <v>43</v>
      </c>
      <c r="AT5" s="111" t="n">
        <v>44</v>
      </c>
      <c r="AU5" s="111" t="n">
        <v>45</v>
      </c>
      <c r="AV5" s="111" t="n">
        <v>46</v>
      </c>
      <c r="AW5" s="111" t="n">
        <v>47</v>
      </c>
      <c r="AX5" s="111" t="n">
        <v>48</v>
      </c>
      <c r="AY5" s="111" t="n">
        <v>49</v>
      </c>
      <c r="AZ5" s="111" t="n">
        <v>50</v>
      </c>
      <c r="BA5" s="111" t="n">
        <v>51</v>
      </c>
      <c r="BB5" s="111" t="n">
        <v>52</v>
      </c>
      <c r="BC5" s="111" t="n">
        <v>53</v>
      </c>
      <c r="BD5" s="111" t="n">
        <v>54</v>
      </c>
      <c r="BE5" s="111" t="n">
        <v>55</v>
      </c>
      <c r="BF5" s="111" t="n">
        <v>56</v>
      </c>
      <c r="BG5" s="111" t="n">
        <v>57</v>
      </c>
      <c r="BH5" s="111" t="n">
        <v>58</v>
      </c>
      <c r="BI5" s="111" t="n">
        <v>59</v>
      </c>
      <c r="BJ5" s="111" t="n">
        <v>60</v>
      </c>
    </row>
    <row r="6" customFormat="false" ht="15" hidden="false" customHeight="true" outlineLevel="0" collapsed="false">
      <c r="A6" s="110" t="s">
        <v>287</v>
      </c>
      <c r="C6" s="111" t="n">
        <v>1</v>
      </c>
      <c r="D6" s="111" t="n">
        <v>1</v>
      </c>
      <c r="E6" s="111" t="n">
        <v>1</v>
      </c>
      <c r="F6" s="111" t="n">
        <v>1</v>
      </c>
      <c r="G6" s="111" t="n">
        <v>1</v>
      </c>
      <c r="H6" s="111" t="n">
        <v>1</v>
      </c>
      <c r="I6" s="111" t="n">
        <v>1</v>
      </c>
      <c r="J6" s="111" t="n">
        <v>1</v>
      </c>
      <c r="K6" s="111" t="n">
        <v>1</v>
      </c>
      <c r="L6" s="111" t="n">
        <v>1</v>
      </c>
      <c r="M6" s="111" t="n">
        <v>1</v>
      </c>
      <c r="N6" s="111" t="n">
        <v>1</v>
      </c>
      <c r="O6" s="111" t="n">
        <v>2</v>
      </c>
      <c r="P6" s="111" t="n">
        <v>2</v>
      </c>
      <c r="Q6" s="111" t="n">
        <v>2</v>
      </c>
      <c r="R6" s="111" t="n">
        <v>2</v>
      </c>
      <c r="S6" s="111" t="n">
        <v>2</v>
      </c>
      <c r="T6" s="111" t="n">
        <v>2</v>
      </c>
      <c r="U6" s="111" t="n">
        <v>2</v>
      </c>
      <c r="V6" s="111" t="n">
        <v>2</v>
      </c>
      <c r="W6" s="111" t="n">
        <v>2</v>
      </c>
      <c r="X6" s="111" t="n">
        <v>2</v>
      </c>
      <c r="Y6" s="111" t="n">
        <v>2</v>
      </c>
      <c r="Z6" s="111" t="n">
        <v>2</v>
      </c>
      <c r="AA6" s="111" t="n">
        <v>3</v>
      </c>
      <c r="AB6" s="111" t="n">
        <v>3</v>
      </c>
      <c r="AC6" s="111" t="n">
        <v>3</v>
      </c>
      <c r="AD6" s="111" t="n">
        <v>3</v>
      </c>
      <c r="AE6" s="111" t="n">
        <v>3</v>
      </c>
      <c r="AF6" s="111" t="n">
        <v>3</v>
      </c>
      <c r="AG6" s="111" t="n">
        <v>3</v>
      </c>
      <c r="AH6" s="111" t="n">
        <v>3</v>
      </c>
      <c r="AI6" s="111" t="n">
        <v>3</v>
      </c>
      <c r="AJ6" s="111" t="n">
        <v>3</v>
      </c>
      <c r="AK6" s="111" t="n">
        <v>3</v>
      </c>
      <c r="AL6" s="111" t="n">
        <v>3</v>
      </c>
      <c r="AM6" s="111" t="n">
        <v>4</v>
      </c>
      <c r="AN6" s="111" t="n">
        <v>4</v>
      </c>
      <c r="AO6" s="111" t="n">
        <v>4</v>
      </c>
      <c r="AP6" s="111" t="n">
        <v>4</v>
      </c>
      <c r="AQ6" s="111" t="n">
        <v>4</v>
      </c>
      <c r="AR6" s="111" t="n">
        <v>4</v>
      </c>
      <c r="AS6" s="111" t="n">
        <v>4</v>
      </c>
      <c r="AT6" s="111" t="n">
        <v>4</v>
      </c>
      <c r="AU6" s="111" t="n">
        <v>4</v>
      </c>
      <c r="AV6" s="111" t="n">
        <v>4</v>
      </c>
      <c r="AW6" s="111" t="n">
        <v>4</v>
      </c>
      <c r="AX6" s="111" t="n">
        <v>4</v>
      </c>
      <c r="AY6" s="111" t="n">
        <v>5</v>
      </c>
      <c r="AZ6" s="111" t="n">
        <v>5</v>
      </c>
      <c r="BA6" s="111" t="n">
        <v>5</v>
      </c>
      <c r="BB6" s="111" t="n">
        <v>5</v>
      </c>
      <c r="BC6" s="111" t="n">
        <v>5</v>
      </c>
      <c r="BD6" s="111" t="n">
        <v>5</v>
      </c>
      <c r="BE6" s="111" t="n">
        <v>5</v>
      </c>
      <c r="BF6" s="111" t="n">
        <v>5</v>
      </c>
      <c r="BG6" s="111" t="n">
        <v>5</v>
      </c>
      <c r="BH6" s="111" t="n">
        <v>5</v>
      </c>
      <c r="BI6" s="111" t="n">
        <v>5</v>
      </c>
      <c r="BJ6" s="111" t="n">
        <v>5</v>
      </c>
    </row>
    <row r="7" customFormat="false" ht="15" hidden="false" customHeight="true" outlineLevel="0" collapsed="false">
      <c r="A7" s="112" t="s">
        <v>288</v>
      </c>
      <c r="B7" s="111" t="s">
        <v>289</v>
      </c>
      <c r="C7" s="113" t="n">
        <f aca="false">IFERROR(Assumptions!$B$51,"")</f>
        <v>0</v>
      </c>
      <c r="D7" s="113" t="n">
        <f aca="false">IFERROR(C11,"")</f>
        <v>0</v>
      </c>
      <c r="E7" s="113" t="n">
        <f aca="false">IFERROR(D11,"")</f>
        <v>0</v>
      </c>
      <c r="F7" s="113" t="n">
        <f aca="false">IFERROR(E11,"")</f>
        <v>0</v>
      </c>
      <c r="G7" s="113" t="n">
        <f aca="false">IFERROR(F11,"")</f>
        <v>0</v>
      </c>
      <c r="H7" s="113" t="n">
        <f aca="false">IFERROR(G11,"")</f>
        <v>0</v>
      </c>
      <c r="I7" s="113" t="n">
        <f aca="false">IFERROR(H11,"")</f>
        <v>0</v>
      </c>
      <c r="J7" s="113" t="n">
        <f aca="false">IFERROR(I11,"")</f>
        <v>0</v>
      </c>
      <c r="K7" s="113" t="n">
        <f aca="false">IFERROR(J11,"")</f>
        <v>0</v>
      </c>
      <c r="L7" s="113" t="n">
        <f aca="false">IFERROR(K11,"")</f>
        <v>0</v>
      </c>
      <c r="M7" s="113" t="n">
        <f aca="false">IFERROR(L11,"")</f>
        <v>0</v>
      </c>
      <c r="N7" s="113" t="n">
        <f aca="false">IFERROR(M11,"")</f>
        <v>0</v>
      </c>
      <c r="O7" s="113" t="n">
        <f aca="false">IFERROR(N11,"")</f>
        <v>0</v>
      </c>
      <c r="P7" s="113" t="n">
        <f aca="false">IFERROR(O11,"")</f>
        <v>0</v>
      </c>
      <c r="Q7" s="113" t="n">
        <f aca="false">IFERROR(P11,"")</f>
        <v>0</v>
      </c>
      <c r="R7" s="113" t="n">
        <f aca="false">IFERROR(Q11,"")</f>
        <v>0</v>
      </c>
      <c r="S7" s="113" t="n">
        <f aca="false">IFERROR(R11,"")</f>
        <v>0</v>
      </c>
      <c r="T7" s="113" t="n">
        <f aca="false">IFERROR(S11,"")</f>
        <v>0</v>
      </c>
      <c r="U7" s="113" t="n">
        <f aca="false">IFERROR(T11,"")</f>
        <v>0</v>
      </c>
      <c r="V7" s="113" t="n">
        <f aca="false">IFERROR(U11,"")</f>
        <v>0</v>
      </c>
      <c r="W7" s="113" t="n">
        <f aca="false">IFERROR(V11,"")</f>
        <v>0</v>
      </c>
      <c r="X7" s="113" t="n">
        <f aca="false">IFERROR(W11,"")</f>
        <v>0</v>
      </c>
      <c r="Y7" s="113" t="n">
        <f aca="false">IFERROR(X11,"")</f>
        <v>0</v>
      </c>
      <c r="Z7" s="113" t="n">
        <f aca="false">IFERROR(Y11,"")</f>
        <v>0</v>
      </c>
      <c r="AA7" s="113" t="n">
        <f aca="false">IFERROR(Z11,"")</f>
        <v>0</v>
      </c>
      <c r="AB7" s="113" t="n">
        <f aca="false">IFERROR(AA11,"")</f>
        <v>0</v>
      </c>
      <c r="AC7" s="113" t="n">
        <f aca="false">IFERROR(AB11,"")</f>
        <v>0</v>
      </c>
      <c r="AD7" s="113" t="n">
        <f aca="false">IFERROR(AC11,"")</f>
        <v>0</v>
      </c>
      <c r="AE7" s="113" t="n">
        <f aca="false">IFERROR(AD11,"")</f>
        <v>0</v>
      </c>
      <c r="AF7" s="113" t="n">
        <f aca="false">IFERROR(AE11,"")</f>
        <v>0</v>
      </c>
      <c r="AG7" s="113" t="n">
        <f aca="false">IFERROR(AF11,"")</f>
        <v>0</v>
      </c>
      <c r="AH7" s="113" t="n">
        <f aca="false">IFERROR(AG11,"")</f>
        <v>0</v>
      </c>
      <c r="AI7" s="113" t="n">
        <f aca="false">IFERROR(AH11,"")</f>
        <v>0</v>
      </c>
      <c r="AJ7" s="113" t="n">
        <f aca="false">IFERROR(AI11,"")</f>
        <v>0</v>
      </c>
      <c r="AK7" s="113" t="n">
        <f aca="false">IFERROR(AJ11,"")</f>
        <v>0</v>
      </c>
      <c r="AL7" s="113" t="n">
        <f aca="false">IFERROR(AK11,"")</f>
        <v>0</v>
      </c>
      <c r="AM7" s="113" t="n">
        <f aca="false">IFERROR(AL11,"")</f>
        <v>0</v>
      </c>
      <c r="AN7" s="113" t="n">
        <f aca="false">IFERROR(AM11,"")</f>
        <v>0</v>
      </c>
      <c r="AO7" s="113" t="n">
        <f aca="false">IFERROR(AN11,"")</f>
        <v>0</v>
      </c>
      <c r="AP7" s="113" t="n">
        <f aca="false">IFERROR(AO11,"")</f>
        <v>0</v>
      </c>
      <c r="AQ7" s="113" t="n">
        <f aca="false">IFERROR(AP11,"")</f>
        <v>0</v>
      </c>
      <c r="AR7" s="113" t="n">
        <f aca="false">IFERROR(AQ11,"")</f>
        <v>0</v>
      </c>
      <c r="AS7" s="113" t="n">
        <f aca="false">IFERROR(AR11,"")</f>
        <v>0</v>
      </c>
      <c r="AT7" s="113" t="n">
        <f aca="false">IFERROR(AS11,"")</f>
        <v>0</v>
      </c>
      <c r="AU7" s="113" t="n">
        <f aca="false">IFERROR(AT11,"")</f>
        <v>0</v>
      </c>
      <c r="AV7" s="113" t="n">
        <f aca="false">IFERROR(AU11,"")</f>
        <v>0</v>
      </c>
      <c r="AW7" s="113" t="n">
        <f aca="false">IFERROR(AV11,"")</f>
        <v>0</v>
      </c>
      <c r="AX7" s="113" t="n">
        <f aca="false">IFERROR(AW11,"")</f>
        <v>0</v>
      </c>
      <c r="AY7" s="113" t="n">
        <f aca="false">IFERROR(AX11,"")</f>
        <v>0</v>
      </c>
      <c r="AZ7" s="113" t="n">
        <f aca="false">IFERROR(AY11,"")</f>
        <v>0</v>
      </c>
      <c r="BA7" s="113" t="n">
        <f aca="false">IFERROR(AZ11,"")</f>
        <v>0</v>
      </c>
      <c r="BB7" s="113" t="n">
        <f aca="false">IFERROR(BA11,"")</f>
        <v>0</v>
      </c>
      <c r="BC7" s="113" t="n">
        <f aca="false">IFERROR(BB11,"")</f>
        <v>0</v>
      </c>
      <c r="BD7" s="113" t="n">
        <f aca="false">IFERROR(BC11,"")</f>
        <v>0</v>
      </c>
      <c r="BE7" s="113" t="n">
        <f aca="false">IFERROR(BD11,"")</f>
        <v>0</v>
      </c>
      <c r="BF7" s="113" t="n">
        <f aca="false">IFERROR(BE11,"")</f>
        <v>0</v>
      </c>
      <c r="BG7" s="113" t="n">
        <f aca="false">IFERROR(BF11,"")</f>
        <v>0</v>
      </c>
      <c r="BH7" s="113" t="n">
        <f aca="false">IFERROR(BG11,"")</f>
        <v>0</v>
      </c>
      <c r="BI7" s="113" t="n">
        <f aca="false">IFERROR(BH11,"")</f>
        <v>0</v>
      </c>
      <c r="BJ7" s="113" t="n">
        <f aca="false">IFERROR(BI11,"")</f>
        <v>0</v>
      </c>
    </row>
    <row r="8" customFormat="false" ht="15" hidden="false" customHeight="true" outlineLevel="0" collapsed="false">
      <c r="A8" s="114" t="s">
        <v>290</v>
      </c>
      <c r="B8" s="111" t="s">
        <v>289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 s="115"/>
      <c r="BH8" s="115"/>
      <c r="BI8" s="115"/>
      <c r="BJ8" s="115"/>
    </row>
    <row r="9" customFormat="false" ht="15" hidden="false" customHeight="true" outlineLevel="0" collapsed="false">
      <c r="A9" s="114" t="s">
        <v>291</v>
      </c>
      <c r="B9" s="111" t="s">
        <v>289</v>
      </c>
      <c r="C9" s="115" t="n">
        <f aca="false">IFERROR(IF(AND(C5&gt;Assumptions!$B$54,C5&lt;=Assumptions!$B$54+Assumptions!$B$55),Assumptions!$B$51/Assumptions!$B$55,0),"")</f>
        <v>0</v>
      </c>
      <c r="D9" s="115" t="n">
        <f aca="false">IFERROR(IF(AND(D5&gt;Assumptions!$B$54,D5&lt;=Assumptions!$B$54+Assumptions!$B$55),Assumptions!$B$51/Assumptions!$B$55,0),"")</f>
        <v>0</v>
      </c>
      <c r="E9" s="115" t="n">
        <f aca="false">IFERROR(IF(AND(E5&gt;Assumptions!$B$54,E5&lt;=Assumptions!$B$54+Assumptions!$B$55),Assumptions!$B$51/Assumptions!$B$55,0),"")</f>
        <v>0</v>
      </c>
      <c r="F9" s="115" t="n">
        <f aca="false">IFERROR(IF(AND(F5&gt;Assumptions!$B$54,F5&lt;=Assumptions!$B$54+Assumptions!$B$55),Assumptions!$B$51/Assumptions!$B$55,0),"")</f>
        <v>0</v>
      </c>
      <c r="G9" s="115" t="n">
        <f aca="false">IFERROR(IF(AND(G5&gt;Assumptions!$B$54,G5&lt;=Assumptions!$B$54+Assumptions!$B$55),Assumptions!$B$51/Assumptions!$B$55,0),"")</f>
        <v>0</v>
      </c>
      <c r="H9" s="115" t="n">
        <f aca="false">IFERROR(IF(AND(H5&gt;Assumptions!$B$54,H5&lt;=Assumptions!$B$54+Assumptions!$B$55),Assumptions!$B$51/Assumptions!$B$55,0),"")</f>
        <v>0</v>
      </c>
      <c r="I9" s="115" t="n">
        <f aca="false">IFERROR(IF(AND(I5&gt;Assumptions!$B$54,I5&lt;=Assumptions!$B$54+Assumptions!$B$55),Assumptions!$B$51/Assumptions!$B$55,0),"")</f>
        <v>0</v>
      </c>
      <c r="J9" s="115" t="n">
        <f aca="false">IFERROR(IF(AND(J5&gt;Assumptions!$B$54,J5&lt;=Assumptions!$B$54+Assumptions!$B$55),Assumptions!$B$51/Assumptions!$B$55,0),"")</f>
        <v>0</v>
      </c>
      <c r="K9" s="115" t="n">
        <f aca="false">IFERROR(IF(AND(K5&gt;Assumptions!$B$54,K5&lt;=Assumptions!$B$54+Assumptions!$B$55),Assumptions!$B$51/Assumptions!$B$55,0),"")</f>
        <v>0</v>
      </c>
      <c r="L9" s="115" t="n">
        <f aca="false">IFERROR(IF(AND(L5&gt;Assumptions!$B$54,L5&lt;=Assumptions!$B$54+Assumptions!$B$55),Assumptions!$B$51/Assumptions!$B$55,0),"")</f>
        <v>0</v>
      </c>
      <c r="M9" s="115" t="n">
        <f aca="false">IFERROR(IF(AND(M5&gt;Assumptions!$B$54,M5&lt;=Assumptions!$B$54+Assumptions!$B$55),Assumptions!$B$51/Assumptions!$B$55,0),"")</f>
        <v>0</v>
      </c>
      <c r="N9" s="115" t="n">
        <f aca="false">IFERROR(IF(AND(N5&gt;Assumptions!$B$54,N5&lt;=Assumptions!$B$54+Assumptions!$B$55),Assumptions!$B$51/Assumptions!$B$55,0),"")</f>
        <v>0</v>
      </c>
      <c r="O9" s="115" t="n">
        <f aca="false">IFERROR(IF(AND(O5&gt;Assumptions!$B$54,O5&lt;=Assumptions!$B$54+Assumptions!$B$55),Assumptions!$B$51/Assumptions!$B$55,0),"")</f>
        <v>0</v>
      </c>
      <c r="P9" s="115" t="n">
        <f aca="false">IFERROR(IF(AND(P5&gt;Assumptions!$B$54,P5&lt;=Assumptions!$B$54+Assumptions!$B$55),Assumptions!$B$51/Assumptions!$B$55,0),"")</f>
        <v>0</v>
      </c>
      <c r="Q9" s="115" t="n">
        <f aca="false">IFERROR(IF(AND(Q5&gt;Assumptions!$B$54,Q5&lt;=Assumptions!$B$54+Assumptions!$B$55),Assumptions!$B$51/Assumptions!$B$55,0),"")</f>
        <v>0</v>
      </c>
      <c r="R9" s="115" t="n">
        <f aca="false">IFERROR(IF(AND(R5&gt;Assumptions!$B$54,R5&lt;=Assumptions!$B$54+Assumptions!$B$55),Assumptions!$B$51/Assumptions!$B$55,0),"")</f>
        <v>0</v>
      </c>
      <c r="S9" s="115" t="n">
        <f aca="false">IFERROR(IF(AND(S5&gt;Assumptions!$B$54,S5&lt;=Assumptions!$B$54+Assumptions!$B$55),Assumptions!$B$51/Assumptions!$B$55,0),"")</f>
        <v>0</v>
      </c>
      <c r="T9" s="115" t="n">
        <f aca="false">IFERROR(IF(AND(T5&gt;Assumptions!$B$54,T5&lt;=Assumptions!$B$54+Assumptions!$B$55),Assumptions!$B$51/Assumptions!$B$55,0),"")</f>
        <v>0</v>
      </c>
      <c r="U9" s="115" t="n">
        <f aca="false">IFERROR(IF(AND(U5&gt;Assumptions!$B$54,U5&lt;=Assumptions!$B$54+Assumptions!$B$55),Assumptions!$B$51/Assumptions!$B$55,0),"")</f>
        <v>0</v>
      </c>
      <c r="V9" s="115" t="n">
        <f aca="false">IFERROR(IF(AND(V5&gt;Assumptions!$B$54,V5&lt;=Assumptions!$B$54+Assumptions!$B$55),Assumptions!$B$51/Assumptions!$B$55,0),"")</f>
        <v>0</v>
      </c>
      <c r="W9" s="115" t="n">
        <f aca="false">IFERROR(IF(AND(W5&gt;Assumptions!$B$54,W5&lt;=Assumptions!$B$54+Assumptions!$B$55),Assumptions!$B$51/Assumptions!$B$55,0),"")</f>
        <v>0</v>
      </c>
      <c r="X9" s="115" t="n">
        <f aca="false">IFERROR(IF(AND(X5&gt;Assumptions!$B$54,X5&lt;=Assumptions!$B$54+Assumptions!$B$55),Assumptions!$B$51/Assumptions!$B$55,0),"")</f>
        <v>0</v>
      </c>
      <c r="Y9" s="115" t="n">
        <f aca="false">IFERROR(IF(AND(Y5&gt;Assumptions!$B$54,Y5&lt;=Assumptions!$B$54+Assumptions!$B$55),Assumptions!$B$51/Assumptions!$B$55,0),"")</f>
        <v>0</v>
      </c>
      <c r="Z9" s="115" t="n">
        <f aca="false">IFERROR(IF(AND(Z5&gt;Assumptions!$B$54,Z5&lt;=Assumptions!$B$54+Assumptions!$B$55),Assumptions!$B$51/Assumptions!$B$55,0),"")</f>
        <v>0</v>
      </c>
      <c r="AA9" s="115" t="n">
        <f aca="false">IFERROR(IF(AND(AA5&gt;Assumptions!$B$54,AA5&lt;=Assumptions!$B$54+Assumptions!$B$55),Assumptions!$B$51/Assumptions!$B$55,0),"")</f>
        <v>0</v>
      </c>
      <c r="AB9" s="115" t="n">
        <f aca="false">IFERROR(IF(AND(AB5&gt;Assumptions!$B$54,AB5&lt;=Assumptions!$B$54+Assumptions!$B$55),Assumptions!$B$51/Assumptions!$B$55,0),"")</f>
        <v>0</v>
      </c>
      <c r="AC9" s="115" t="n">
        <f aca="false">IFERROR(IF(AND(AC5&gt;Assumptions!$B$54,AC5&lt;=Assumptions!$B$54+Assumptions!$B$55),Assumptions!$B$51/Assumptions!$B$55,0),"")</f>
        <v>0</v>
      </c>
      <c r="AD9" s="115" t="n">
        <f aca="false">IFERROR(IF(AND(AD5&gt;Assumptions!$B$54,AD5&lt;=Assumptions!$B$54+Assumptions!$B$55),Assumptions!$B$51/Assumptions!$B$55,0),"")</f>
        <v>0</v>
      </c>
      <c r="AE9" s="115" t="n">
        <f aca="false">IFERROR(IF(AND(AE5&gt;Assumptions!$B$54,AE5&lt;=Assumptions!$B$54+Assumptions!$B$55),Assumptions!$B$51/Assumptions!$B$55,0),"")</f>
        <v>0</v>
      </c>
      <c r="AF9" s="115" t="n">
        <f aca="false">IFERROR(IF(AND(AF5&gt;Assumptions!$B$54,AF5&lt;=Assumptions!$B$54+Assumptions!$B$55),Assumptions!$B$51/Assumptions!$B$55,0),"")</f>
        <v>0</v>
      </c>
      <c r="AG9" s="115" t="n">
        <f aca="false">IFERROR(IF(AND(AG5&gt;Assumptions!$B$54,AG5&lt;=Assumptions!$B$54+Assumptions!$B$55),Assumptions!$B$51/Assumptions!$B$55,0),"")</f>
        <v>0</v>
      </c>
      <c r="AH9" s="115" t="n">
        <f aca="false">IFERROR(IF(AND(AH5&gt;Assumptions!$B$54,AH5&lt;=Assumptions!$B$54+Assumptions!$B$55),Assumptions!$B$51/Assumptions!$B$55,0),"")</f>
        <v>0</v>
      </c>
      <c r="AI9" s="115" t="n">
        <f aca="false">IFERROR(IF(AND(AI5&gt;Assumptions!$B$54,AI5&lt;=Assumptions!$B$54+Assumptions!$B$55),Assumptions!$B$51/Assumptions!$B$55,0),"")</f>
        <v>0</v>
      </c>
      <c r="AJ9" s="115" t="n">
        <f aca="false">IFERROR(IF(AND(AJ5&gt;Assumptions!$B$54,AJ5&lt;=Assumptions!$B$54+Assumptions!$B$55),Assumptions!$B$51/Assumptions!$B$55,0),"")</f>
        <v>0</v>
      </c>
      <c r="AK9" s="115" t="n">
        <f aca="false">IFERROR(IF(AND(AK5&gt;Assumptions!$B$54,AK5&lt;=Assumptions!$B$54+Assumptions!$B$55),Assumptions!$B$51/Assumptions!$B$55,0),"")</f>
        <v>0</v>
      </c>
      <c r="AL9" s="115" t="n">
        <f aca="false">IFERROR(IF(AND(AL5&gt;Assumptions!$B$54,AL5&lt;=Assumptions!$B$54+Assumptions!$B$55),Assumptions!$B$51/Assumptions!$B$55,0),"")</f>
        <v>0</v>
      </c>
      <c r="AM9" s="115" t="n">
        <f aca="false">IFERROR(IF(AND(AM5&gt;Assumptions!$B$54,AM5&lt;=Assumptions!$B$54+Assumptions!$B$55),Assumptions!$B$51/Assumptions!$B$55,0),"")</f>
        <v>0</v>
      </c>
      <c r="AN9" s="115" t="n">
        <f aca="false">IFERROR(IF(AND(AN5&gt;Assumptions!$B$54,AN5&lt;=Assumptions!$B$54+Assumptions!$B$55),Assumptions!$B$51/Assumptions!$B$55,0),"")</f>
        <v>0</v>
      </c>
      <c r="AO9" s="115" t="n">
        <f aca="false">IFERROR(IF(AND(AO5&gt;Assumptions!$B$54,AO5&lt;=Assumptions!$B$54+Assumptions!$B$55),Assumptions!$B$51/Assumptions!$B$55,0),"")</f>
        <v>0</v>
      </c>
      <c r="AP9" s="115" t="n">
        <f aca="false">IFERROR(IF(AND(AP5&gt;Assumptions!$B$54,AP5&lt;=Assumptions!$B$54+Assumptions!$B$55),Assumptions!$B$51/Assumptions!$B$55,0),"")</f>
        <v>0</v>
      </c>
      <c r="AQ9" s="115" t="n">
        <f aca="false">IFERROR(IF(AND(AQ5&gt;Assumptions!$B$54,AQ5&lt;=Assumptions!$B$54+Assumptions!$B$55),Assumptions!$B$51/Assumptions!$B$55,0),"")</f>
        <v>0</v>
      </c>
      <c r="AR9" s="115" t="n">
        <f aca="false">IFERROR(IF(AND(AR5&gt;Assumptions!$B$54,AR5&lt;=Assumptions!$B$54+Assumptions!$B$55),Assumptions!$B$51/Assumptions!$B$55,0),"")</f>
        <v>0</v>
      </c>
      <c r="AS9" s="115" t="n">
        <f aca="false">IFERROR(IF(AND(AS5&gt;Assumptions!$B$54,AS5&lt;=Assumptions!$B$54+Assumptions!$B$55),Assumptions!$B$51/Assumptions!$B$55,0),"")</f>
        <v>0</v>
      </c>
      <c r="AT9" s="115" t="n">
        <f aca="false">IFERROR(IF(AND(AT5&gt;Assumptions!$B$54,AT5&lt;=Assumptions!$B$54+Assumptions!$B$55),Assumptions!$B$51/Assumptions!$B$55,0),"")</f>
        <v>0</v>
      </c>
      <c r="AU9" s="115" t="n">
        <f aca="false">IFERROR(IF(AND(AU5&gt;Assumptions!$B$54,AU5&lt;=Assumptions!$B$54+Assumptions!$B$55),Assumptions!$B$51/Assumptions!$B$55,0),"")</f>
        <v>0</v>
      </c>
      <c r="AV9" s="115" t="n">
        <f aca="false">IFERROR(IF(AND(AV5&gt;Assumptions!$B$54,AV5&lt;=Assumptions!$B$54+Assumptions!$B$55),Assumptions!$B$51/Assumptions!$B$55,0),"")</f>
        <v>0</v>
      </c>
      <c r="AW9" s="115" t="n">
        <f aca="false">IFERROR(IF(AND(AW5&gt;Assumptions!$B$54,AW5&lt;=Assumptions!$B$54+Assumptions!$B$55),Assumptions!$B$51/Assumptions!$B$55,0),"")</f>
        <v>0</v>
      </c>
      <c r="AX9" s="115" t="n">
        <f aca="false">IFERROR(IF(AND(AX5&gt;Assumptions!$B$54,AX5&lt;=Assumptions!$B$54+Assumptions!$B$55),Assumptions!$B$51/Assumptions!$B$55,0),"")</f>
        <v>0</v>
      </c>
      <c r="AY9" s="115" t="n">
        <f aca="false">IFERROR(IF(AND(AY5&gt;Assumptions!$B$54,AY5&lt;=Assumptions!$B$54+Assumptions!$B$55),Assumptions!$B$51/Assumptions!$B$55,0),"")</f>
        <v>0</v>
      </c>
      <c r="AZ9" s="115" t="n">
        <f aca="false">IFERROR(IF(AND(AZ5&gt;Assumptions!$B$54,AZ5&lt;=Assumptions!$B$54+Assumptions!$B$55),Assumptions!$B$51/Assumptions!$B$55,0),"")</f>
        <v>0</v>
      </c>
      <c r="BA9" s="115" t="n">
        <f aca="false">IFERROR(IF(AND(BA5&gt;Assumptions!$B$54,BA5&lt;=Assumptions!$B$54+Assumptions!$B$55),Assumptions!$B$51/Assumptions!$B$55,0),"")</f>
        <v>0</v>
      </c>
      <c r="BB9" s="115" t="n">
        <f aca="false">IFERROR(IF(AND(BB5&gt;Assumptions!$B$54,BB5&lt;=Assumptions!$B$54+Assumptions!$B$55),Assumptions!$B$51/Assumptions!$B$55,0),"")</f>
        <v>0</v>
      </c>
      <c r="BC9" s="115" t="n">
        <f aca="false">IFERROR(IF(AND(BC5&gt;Assumptions!$B$54,BC5&lt;=Assumptions!$B$54+Assumptions!$B$55),Assumptions!$B$51/Assumptions!$B$55,0),"")</f>
        <v>0</v>
      </c>
      <c r="BD9" s="115" t="n">
        <f aca="false">IFERROR(IF(AND(BD5&gt;Assumptions!$B$54,BD5&lt;=Assumptions!$B$54+Assumptions!$B$55),Assumptions!$B$51/Assumptions!$B$55,0),"")</f>
        <v>0</v>
      </c>
      <c r="BE9" s="115" t="n">
        <f aca="false">IFERROR(IF(AND(BE5&gt;Assumptions!$B$54,BE5&lt;=Assumptions!$B$54+Assumptions!$B$55),Assumptions!$B$51/Assumptions!$B$55,0),"")</f>
        <v>0</v>
      </c>
      <c r="BF9" s="115" t="n">
        <f aca="false">IFERROR(IF(AND(BF5&gt;Assumptions!$B$54,BF5&lt;=Assumptions!$B$54+Assumptions!$B$55),Assumptions!$B$51/Assumptions!$B$55,0),"")</f>
        <v>0</v>
      </c>
      <c r="BG9" s="115" t="n">
        <f aca="false">IFERROR(IF(AND(BG5&gt;Assumptions!$B$54,BG5&lt;=Assumptions!$B$54+Assumptions!$B$55),Assumptions!$B$51/Assumptions!$B$55,0),"")</f>
        <v>0</v>
      </c>
      <c r="BH9" s="115" t="n">
        <f aca="false">IFERROR(IF(AND(BH5&gt;Assumptions!$B$54,BH5&lt;=Assumptions!$B$54+Assumptions!$B$55),Assumptions!$B$51/Assumptions!$B$55,0),"")</f>
        <v>0</v>
      </c>
      <c r="BI9" s="115" t="n">
        <f aca="false">IFERROR(IF(AND(BI5&gt;Assumptions!$B$54,BI5&lt;=Assumptions!$B$54+Assumptions!$B$55),Assumptions!$B$51/Assumptions!$B$55,0),"")</f>
        <v>0</v>
      </c>
      <c r="BJ9" s="115" t="n">
        <f aca="false">IFERROR(IF(AND(BJ5&gt;Assumptions!$B$54,BJ5&lt;=Assumptions!$B$54+Assumptions!$B$55),Assumptions!$B$51/Assumptions!$B$55,0),"")</f>
        <v>0</v>
      </c>
    </row>
    <row r="10" customFormat="false" ht="15" hidden="false" customHeight="true" outlineLevel="0" collapsed="false">
      <c r="A10" s="112" t="s">
        <v>292</v>
      </c>
      <c r="B10" s="111" t="s">
        <v>289</v>
      </c>
      <c r="C10" s="113" t="n">
        <f aca="false">IFERROR(C7*Assumptions!$B$53/12,"")</f>
        <v>0</v>
      </c>
      <c r="D10" s="113" t="n">
        <f aca="false">IFERROR(D7*Assumptions!$B$53/12,"")</f>
        <v>0</v>
      </c>
      <c r="E10" s="113" t="n">
        <f aca="false">IFERROR(E7*Assumptions!$B$53/12,"")</f>
        <v>0</v>
      </c>
      <c r="F10" s="113" t="n">
        <f aca="false">IFERROR(F7*Assumptions!$B$53/12,"")</f>
        <v>0</v>
      </c>
      <c r="G10" s="113" t="n">
        <f aca="false">IFERROR(G7*Assumptions!$B$53/12,"")</f>
        <v>0</v>
      </c>
      <c r="H10" s="113" t="n">
        <f aca="false">IFERROR(H7*Assumptions!$B$53/12,"")</f>
        <v>0</v>
      </c>
      <c r="I10" s="113" t="n">
        <f aca="false">IFERROR(I7*Assumptions!$B$53/12,"")</f>
        <v>0</v>
      </c>
      <c r="J10" s="113" t="n">
        <f aca="false">IFERROR(J7*Assumptions!$B$53/12,"")</f>
        <v>0</v>
      </c>
      <c r="K10" s="113" t="n">
        <f aca="false">IFERROR(K7*Assumptions!$B$53/12,"")</f>
        <v>0</v>
      </c>
      <c r="L10" s="113" t="n">
        <f aca="false">IFERROR(L7*Assumptions!$B$53/12,"")</f>
        <v>0</v>
      </c>
      <c r="M10" s="113" t="n">
        <f aca="false">IFERROR(M7*Assumptions!$B$53/12,"")</f>
        <v>0</v>
      </c>
      <c r="N10" s="113" t="n">
        <f aca="false">IFERROR(N7*Assumptions!$B$53/12,"")</f>
        <v>0</v>
      </c>
      <c r="O10" s="113" t="n">
        <f aca="false">IFERROR(O7*Assumptions!$B$53/12,"")</f>
        <v>0</v>
      </c>
      <c r="P10" s="113" t="n">
        <f aca="false">IFERROR(P7*Assumptions!$B$53/12,"")</f>
        <v>0</v>
      </c>
      <c r="Q10" s="113" t="n">
        <f aca="false">IFERROR(Q7*Assumptions!$B$53/12,"")</f>
        <v>0</v>
      </c>
      <c r="R10" s="113" t="n">
        <f aca="false">IFERROR(R7*Assumptions!$B$53/12,"")</f>
        <v>0</v>
      </c>
      <c r="S10" s="113" t="n">
        <f aca="false">IFERROR(S7*Assumptions!$B$53/12,"")</f>
        <v>0</v>
      </c>
      <c r="T10" s="113" t="n">
        <f aca="false">IFERROR(T7*Assumptions!$B$53/12,"")</f>
        <v>0</v>
      </c>
      <c r="U10" s="113" t="n">
        <f aca="false">IFERROR(U7*Assumptions!$B$53/12,"")</f>
        <v>0</v>
      </c>
      <c r="V10" s="113" t="n">
        <f aca="false">IFERROR(V7*Assumptions!$B$53/12,"")</f>
        <v>0</v>
      </c>
      <c r="W10" s="113" t="n">
        <f aca="false">IFERROR(W7*Assumptions!$B$53/12,"")</f>
        <v>0</v>
      </c>
      <c r="X10" s="113" t="n">
        <f aca="false">IFERROR(X7*Assumptions!$B$53/12,"")</f>
        <v>0</v>
      </c>
      <c r="Y10" s="113" t="n">
        <f aca="false">IFERROR(Y7*Assumptions!$B$53/12,"")</f>
        <v>0</v>
      </c>
      <c r="Z10" s="113" t="n">
        <f aca="false">IFERROR(Z7*Assumptions!$B$53/12,"")</f>
        <v>0</v>
      </c>
      <c r="AA10" s="113" t="n">
        <f aca="false">IFERROR(AA7*Assumptions!$B$53/12,"")</f>
        <v>0</v>
      </c>
      <c r="AB10" s="113" t="n">
        <f aca="false">IFERROR(AB7*Assumptions!$B$53/12,"")</f>
        <v>0</v>
      </c>
      <c r="AC10" s="113" t="n">
        <f aca="false">IFERROR(AC7*Assumptions!$B$53/12,"")</f>
        <v>0</v>
      </c>
      <c r="AD10" s="113" t="n">
        <f aca="false">IFERROR(AD7*Assumptions!$B$53/12,"")</f>
        <v>0</v>
      </c>
      <c r="AE10" s="113" t="n">
        <f aca="false">IFERROR(AE7*Assumptions!$B$53/12,"")</f>
        <v>0</v>
      </c>
      <c r="AF10" s="113" t="n">
        <f aca="false">IFERROR(AF7*Assumptions!$B$53/12,"")</f>
        <v>0</v>
      </c>
      <c r="AG10" s="113" t="n">
        <f aca="false">IFERROR(AG7*Assumptions!$B$53/12,"")</f>
        <v>0</v>
      </c>
      <c r="AH10" s="113" t="n">
        <f aca="false">IFERROR(AH7*Assumptions!$B$53/12,"")</f>
        <v>0</v>
      </c>
      <c r="AI10" s="113" t="n">
        <f aca="false">IFERROR(AI7*Assumptions!$B$53/12,"")</f>
        <v>0</v>
      </c>
      <c r="AJ10" s="113" t="n">
        <f aca="false">IFERROR(AJ7*Assumptions!$B$53/12,"")</f>
        <v>0</v>
      </c>
      <c r="AK10" s="113" t="n">
        <f aca="false">IFERROR(AK7*Assumptions!$B$53/12,"")</f>
        <v>0</v>
      </c>
      <c r="AL10" s="113" t="n">
        <f aca="false">IFERROR(AL7*Assumptions!$B$53/12,"")</f>
        <v>0</v>
      </c>
      <c r="AM10" s="113" t="n">
        <f aca="false">IFERROR(AM7*Assumptions!$B$53/12,"")</f>
        <v>0</v>
      </c>
      <c r="AN10" s="113" t="n">
        <f aca="false">IFERROR(AN7*Assumptions!$B$53/12,"")</f>
        <v>0</v>
      </c>
      <c r="AO10" s="113" t="n">
        <f aca="false">IFERROR(AO7*Assumptions!$B$53/12,"")</f>
        <v>0</v>
      </c>
      <c r="AP10" s="113" t="n">
        <f aca="false">IFERROR(AP7*Assumptions!$B$53/12,"")</f>
        <v>0</v>
      </c>
      <c r="AQ10" s="113" t="n">
        <f aca="false">IFERROR(AQ7*Assumptions!$B$53/12,"")</f>
        <v>0</v>
      </c>
      <c r="AR10" s="113" t="n">
        <f aca="false">IFERROR(AR7*Assumptions!$B$53/12,"")</f>
        <v>0</v>
      </c>
      <c r="AS10" s="113" t="n">
        <f aca="false">IFERROR(AS7*Assumptions!$B$53/12,"")</f>
        <v>0</v>
      </c>
      <c r="AT10" s="113" t="n">
        <f aca="false">IFERROR(AT7*Assumptions!$B$53/12,"")</f>
        <v>0</v>
      </c>
      <c r="AU10" s="113" t="n">
        <f aca="false">IFERROR(AU7*Assumptions!$B$53/12,"")</f>
        <v>0</v>
      </c>
      <c r="AV10" s="113" t="n">
        <f aca="false">IFERROR(AV7*Assumptions!$B$53/12,"")</f>
        <v>0</v>
      </c>
      <c r="AW10" s="113" t="n">
        <f aca="false">IFERROR(AW7*Assumptions!$B$53/12,"")</f>
        <v>0</v>
      </c>
      <c r="AX10" s="113" t="n">
        <f aca="false">IFERROR(AX7*Assumptions!$B$53/12,"")</f>
        <v>0</v>
      </c>
      <c r="AY10" s="113" t="n">
        <f aca="false">IFERROR(AY7*Assumptions!$B$53/12,"")</f>
        <v>0</v>
      </c>
      <c r="AZ10" s="113" t="n">
        <f aca="false">IFERROR(AZ7*Assumptions!$B$53/12,"")</f>
        <v>0</v>
      </c>
      <c r="BA10" s="113" t="n">
        <f aca="false">IFERROR(BA7*Assumptions!$B$53/12,"")</f>
        <v>0</v>
      </c>
      <c r="BB10" s="113" t="n">
        <f aca="false">IFERROR(BB7*Assumptions!$B$53/12,"")</f>
        <v>0</v>
      </c>
      <c r="BC10" s="113" t="n">
        <f aca="false">IFERROR(BC7*Assumptions!$B$53/12,"")</f>
        <v>0</v>
      </c>
      <c r="BD10" s="113" t="n">
        <f aca="false">IFERROR(BD7*Assumptions!$B$53/12,"")</f>
        <v>0</v>
      </c>
      <c r="BE10" s="113" t="n">
        <f aca="false">IFERROR(BE7*Assumptions!$B$53/12,"")</f>
        <v>0</v>
      </c>
      <c r="BF10" s="113" t="n">
        <f aca="false">IFERROR(BF7*Assumptions!$B$53/12,"")</f>
        <v>0</v>
      </c>
      <c r="BG10" s="113" t="n">
        <f aca="false">IFERROR(BG7*Assumptions!$B$53/12,"")</f>
        <v>0</v>
      </c>
      <c r="BH10" s="113" t="n">
        <f aca="false">IFERROR(BH7*Assumptions!$B$53/12,"")</f>
        <v>0</v>
      </c>
      <c r="BI10" s="113" t="n">
        <f aca="false">IFERROR(BI7*Assumptions!$B$53/12,"")</f>
        <v>0</v>
      </c>
      <c r="BJ10" s="113" t="n">
        <f aca="false">IFERROR(BJ7*Assumptions!$B$53/12,"")</f>
        <v>0</v>
      </c>
    </row>
    <row r="11" customFormat="false" ht="15" hidden="false" customHeight="true" outlineLevel="0" collapsed="false">
      <c r="A11" s="112" t="s">
        <v>293</v>
      </c>
      <c r="B11" s="111" t="s">
        <v>289</v>
      </c>
      <c r="C11" s="113" t="n">
        <f aca="false">IFERROR(C7+C8-C9,"")</f>
        <v>0</v>
      </c>
      <c r="D11" s="113" t="n">
        <f aca="false">IFERROR(D7+D8-D9,"")</f>
        <v>0</v>
      </c>
      <c r="E11" s="113" t="n">
        <f aca="false">IFERROR(E7+E8-E9,"")</f>
        <v>0</v>
      </c>
      <c r="F11" s="113" t="n">
        <f aca="false">IFERROR(F7+F8-F9,"")</f>
        <v>0</v>
      </c>
      <c r="G11" s="113" t="n">
        <f aca="false">IFERROR(G7+G8-G9,"")</f>
        <v>0</v>
      </c>
      <c r="H11" s="113" t="n">
        <f aca="false">IFERROR(H7+H8-H9,"")</f>
        <v>0</v>
      </c>
      <c r="I11" s="113" t="n">
        <f aca="false">IFERROR(I7+I8-I9,"")</f>
        <v>0</v>
      </c>
      <c r="J11" s="113" t="n">
        <f aca="false">IFERROR(J7+J8-J9,"")</f>
        <v>0</v>
      </c>
      <c r="K11" s="113" t="n">
        <f aca="false">IFERROR(K7+K8-K9,"")</f>
        <v>0</v>
      </c>
      <c r="L11" s="113" t="n">
        <f aca="false">IFERROR(L7+L8-L9,"")</f>
        <v>0</v>
      </c>
      <c r="M11" s="113" t="n">
        <f aca="false">IFERROR(M7+M8-M9,"")</f>
        <v>0</v>
      </c>
      <c r="N11" s="113" t="n">
        <f aca="false">IFERROR(N7+N8-N9,"")</f>
        <v>0</v>
      </c>
      <c r="O11" s="113" t="n">
        <f aca="false">IFERROR(O7+O8-O9,"")</f>
        <v>0</v>
      </c>
      <c r="P11" s="113" t="n">
        <f aca="false">IFERROR(P7+P8-P9,"")</f>
        <v>0</v>
      </c>
      <c r="Q11" s="113" t="n">
        <f aca="false">IFERROR(Q7+Q8-Q9,"")</f>
        <v>0</v>
      </c>
      <c r="R11" s="113" t="n">
        <f aca="false">IFERROR(R7+R8-R9,"")</f>
        <v>0</v>
      </c>
      <c r="S11" s="113" t="n">
        <f aca="false">IFERROR(S7+S8-S9,"")</f>
        <v>0</v>
      </c>
      <c r="T11" s="113" t="n">
        <f aca="false">IFERROR(T7+T8-T9,"")</f>
        <v>0</v>
      </c>
      <c r="U11" s="113" t="n">
        <f aca="false">IFERROR(U7+U8-U9,"")</f>
        <v>0</v>
      </c>
      <c r="V11" s="113" t="n">
        <f aca="false">IFERROR(V7+V8-V9,"")</f>
        <v>0</v>
      </c>
      <c r="W11" s="113" t="n">
        <f aca="false">IFERROR(W7+W8-W9,"")</f>
        <v>0</v>
      </c>
      <c r="X11" s="113" t="n">
        <f aca="false">IFERROR(X7+X8-X9,"")</f>
        <v>0</v>
      </c>
      <c r="Y11" s="113" t="n">
        <f aca="false">IFERROR(Y7+Y8-Y9,"")</f>
        <v>0</v>
      </c>
      <c r="Z11" s="113" t="n">
        <f aca="false">IFERROR(Z7+Z8-Z9,"")</f>
        <v>0</v>
      </c>
      <c r="AA11" s="113" t="n">
        <f aca="false">IFERROR(AA7+AA8-AA9,"")</f>
        <v>0</v>
      </c>
      <c r="AB11" s="113" t="n">
        <f aca="false">IFERROR(AB7+AB8-AB9,"")</f>
        <v>0</v>
      </c>
      <c r="AC11" s="113" t="n">
        <f aca="false">IFERROR(AC7+AC8-AC9,"")</f>
        <v>0</v>
      </c>
      <c r="AD11" s="113" t="n">
        <f aca="false">IFERROR(AD7+AD8-AD9,"")</f>
        <v>0</v>
      </c>
      <c r="AE11" s="113" t="n">
        <f aca="false">IFERROR(AE7+AE8-AE9,"")</f>
        <v>0</v>
      </c>
      <c r="AF11" s="113" t="n">
        <f aca="false">IFERROR(AF7+AF8-AF9,"")</f>
        <v>0</v>
      </c>
      <c r="AG11" s="113" t="n">
        <f aca="false">IFERROR(AG7+AG8-AG9,"")</f>
        <v>0</v>
      </c>
      <c r="AH11" s="113" t="n">
        <f aca="false">IFERROR(AH7+AH8-AH9,"")</f>
        <v>0</v>
      </c>
      <c r="AI11" s="113" t="n">
        <f aca="false">IFERROR(AI7+AI8-AI9,"")</f>
        <v>0</v>
      </c>
      <c r="AJ11" s="113" t="n">
        <f aca="false">IFERROR(AJ7+AJ8-AJ9,"")</f>
        <v>0</v>
      </c>
      <c r="AK11" s="113" t="n">
        <f aca="false">IFERROR(AK7+AK8-AK9,"")</f>
        <v>0</v>
      </c>
      <c r="AL11" s="113" t="n">
        <f aca="false">IFERROR(AL7+AL8-AL9,"")</f>
        <v>0</v>
      </c>
      <c r="AM11" s="113" t="n">
        <f aca="false">IFERROR(AM7+AM8-AM9,"")</f>
        <v>0</v>
      </c>
      <c r="AN11" s="113" t="n">
        <f aca="false">IFERROR(AN7+AN8-AN9,"")</f>
        <v>0</v>
      </c>
      <c r="AO11" s="113" t="n">
        <f aca="false">IFERROR(AO7+AO8-AO9,"")</f>
        <v>0</v>
      </c>
      <c r="AP11" s="113" t="n">
        <f aca="false">IFERROR(AP7+AP8-AP9,"")</f>
        <v>0</v>
      </c>
      <c r="AQ11" s="113" t="n">
        <f aca="false">IFERROR(AQ7+AQ8-AQ9,"")</f>
        <v>0</v>
      </c>
      <c r="AR11" s="113" t="n">
        <f aca="false">IFERROR(AR7+AR8-AR9,"")</f>
        <v>0</v>
      </c>
      <c r="AS11" s="113" t="n">
        <f aca="false">IFERROR(AS7+AS8-AS9,"")</f>
        <v>0</v>
      </c>
      <c r="AT11" s="113" t="n">
        <f aca="false">IFERROR(AT7+AT8-AT9,"")</f>
        <v>0</v>
      </c>
      <c r="AU11" s="113" t="n">
        <f aca="false">IFERROR(AU7+AU8-AU9,"")</f>
        <v>0</v>
      </c>
      <c r="AV11" s="113" t="n">
        <f aca="false">IFERROR(AV7+AV8-AV9,"")</f>
        <v>0</v>
      </c>
      <c r="AW11" s="113" t="n">
        <f aca="false">IFERROR(AW7+AW8-AW9,"")</f>
        <v>0</v>
      </c>
      <c r="AX11" s="113" t="n">
        <f aca="false">IFERROR(AX7+AX8-AX9,"")</f>
        <v>0</v>
      </c>
      <c r="AY11" s="113" t="n">
        <f aca="false">IFERROR(AY7+AY8-AY9,"")</f>
        <v>0</v>
      </c>
      <c r="AZ11" s="113" t="n">
        <f aca="false">IFERROR(AZ7+AZ8-AZ9,"")</f>
        <v>0</v>
      </c>
      <c r="BA11" s="113" t="n">
        <f aca="false">IFERROR(BA7+BA8-BA9,"")</f>
        <v>0</v>
      </c>
      <c r="BB11" s="113" t="n">
        <f aca="false">IFERROR(BB7+BB8-BB9,"")</f>
        <v>0</v>
      </c>
      <c r="BC11" s="113" t="n">
        <f aca="false">IFERROR(BC7+BC8-BC9,"")</f>
        <v>0</v>
      </c>
      <c r="BD11" s="113" t="n">
        <f aca="false">IFERROR(BD7+BD8-BD9,"")</f>
        <v>0</v>
      </c>
      <c r="BE11" s="113" t="n">
        <f aca="false">IFERROR(BE7+BE8-BE9,"")</f>
        <v>0</v>
      </c>
      <c r="BF11" s="113" t="n">
        <f aca="false">IFERROR(BF7+BF8-BF9,"")</f>
        <v>0</v>
      </c>
      <c r="BG11" s="113" t="n">
        <f aca="false">IFERROR(BG7+BG8-BG9,"")</f>
        <v>0</v>
      </c>
      <c r="BH11" s="113" t="n">
        <f aca="false">IFERROR(BH7+BH8-BH9,"")</f>
        <v>0</v>
      </c>
      <c r="BI11" s="113" t="n">
        <f aca="false">IFERROR(BI7+BI8-BI9,"")</f>
        <v>0</v>
      </c>
      <c r="BJ11" s="113" t="n">
        <f aca="false">IFERROR(BJ7+BJ8-BJ9,"")</f>
        <v>0</v>
      </c>
    </row>
    <row r="12" customFormat="false" ht="15" hidden="false" customHeight="true" outlineLevel="0" collapsed="false">
      <c r="A12" s="114" t="s">
        <v>294</v>
      </c>
      <c r="B12" s="111" t="s">
        <v>289</v>
      </c>
      <c r="C12" s="115" t="n">
        <f aca="false">IFERROR(C9+C10,"")</f>
        <v>0</v>
      </c>
      <c r="D12" s="115" t="n">
        <f aca="false">IFERROR(D9+D10,"")</f>
        <v>0</v>
      </c>
      <c r="E12" s="115" t="n">
        <f aca="false">IFERROR(E9+E10,"")</f>
        <v>0</v>
      </c>
      <c r="F12" s="115" t="n">
        <f aca="false">IFERROR(F9+F10,"")</f>
        <v>0</v>
      </c>
      <c r="G12" s="115" t="n">
        <f aca="false">IFERROR(G9+G10,"")</f>
        <v>0</v>
      </c>
      <c r="H12" s="115" t="n">
        <f aca="false">IFERROR(H9+H10,"")</f>
        <v>0</v>
      </c>
      <c r="I12" s="115" t="n">
        <f aca="false">IFERROR(I9+I10,"")</f>
        <v>0</v>
      </c>
      <c r="J12" s="115" t="n">
        <f aca="false">IFERROR(J9+J10,"")</f>
        <v>0</v>
      </c>
      <c r="K12" s="115" t="n">
        <f aca="false">IFERROR(K9+K10,"")</f>
        <v>0</v>
      </c>
      <c r="L12" s="115" t="n">
        <f aca="false">IFERROR(L9+L10,"")</f>
        <v>0</v>
      </c>
      <c r="M12" s="115" t="n">
        <f aca="false">IFERROR(M9+M10,"")</f>
        <v>0</v>
      </c>
      <c r="N12" s="115" t="n">
        <f aca="false">IFERROR(N9+N10,"")</f>
        <v>0</v>
      </c>
      <c r="O12" s="115" t="n">
        <f aca="false">IFERROR(O9+O10,"")</f>
        <v>0</v>
      </c>
      <c r="P12" s="115" t="n">
        <f aca="false">IFERROR(P9+P10,"")</f>
        <v>0</v>
      </c>
      <c r="Q12" s="115" t="n">
        <f aca="false">IFERROR(Q9+Q10,"")</f>
        <v>0</v>
      </c>
      <c r="R12" s="115" t="n">
        <f aca="false">IFERROR(R9+R10,"")</f>
        <v>0</v>
      </c>
      <c r="S12" s="115" t="n">
        <f aca="false">IFERROR(S9+S10,"")</f>
        <v>0</v>
      </c>
      <c r="T12" s="115" t="n">
        <f aca="false">IFERROR(T9+T10,"")</f>
        <v>0</v>
      </c>
      <c r="U12" s="115" t="n">
        <f aca="false">IFERROR(U9+U10,"")</f>
        <v>0</v>
      </c>
      <c r="V12" s="115" t="n">
        <f aca="false">IFERROR(V9+V10,"")</f>
        <v>0</v>
      </c>
      <c r="W12" s="115" t="n">
        <f aca="false">IFERROR(W9+W10,"")</f>
        <v>0</v>
      </c>
      <c r="X12" s="115" t="n">
        <f aca="false">IFERROR(X9+X10,"")</f>
        <v>0</v>
      </c>
      <c r="Y12" s="115" t="n">
        <f aca="false">IFERROR(Y9+Y10,"")</f>
        <v>0</v>
      </c>
      <c r="Z12" s="115" t="n">
        <f aca="false">IFERROR(Z9+Z10,"")</f>
        <v>0</v>
      </c>
      <c r="AA12" s="115" t="n">
        <f aca="false">IFERROR(AA9+AA10,"")</f>
        <v>0</v>
      </c>
      <c r="AB12" s="115" t="n">
        <f aca="false">IFERROR(AB9+AB10,"")</f>
        <v>0</v>
      </c>
      <c r="AC12" s="115" t="n">
        <f aca="false">IFERROR(AC9+AC10,"")</f>
        <v>0</v>
      </c>
      <c r="AD12" s="115" t="n">
        <f aca="false">IFERROR(AD9+AD10,"")</f>
        <v>0</v>
      </c>
      <c r="AE12" s="115" t="n">
        <f aca="false">IFERROR(AE9+AE10,"")</f>
        <v>0</v>
      </c>
      <c r="AF12" s="115" t="n">
        <f aca="false">IFERROR(AF9+AF10,"")</f>
        <v>0</v>
      </c>
      <c r="AG12" s="115" t="n">
        <f aca="false">IFERROR(AG9+AG10,"")</f>
        <v>0</v>
      </c>
      <c r="AH12" s="115" t="n">
        <f aca="false">IFERROR(AH9+AH10,"")</f>
        <v>0</v>
      </c>
      <c r="AI12" s="115" t="n">
        <f aca="false">IFERROR(AI9+AI10,"")</f>
        <v>0</v>
      </c>
      <c r="AJ12" s="115" t="n">
        <f aca="false">IFERROR(AJ9+AJ10,"")</f>
        <v>0</v>
      </c>
      <c r="AK12" s="115" t="n">
        <f aca="false">IFERROR(AK9+AK10,"")</f>
        <v>0</v>
      </c>
      <c r="AL12" s="115" t="n">
        <f aca="false">IFERROR(AL9+AL10,"")</f>
        <v>0</v>
      </c>
      <c r="AM12" s="115" t="n">
        <f aca="false">IFERROR(AM9+AM10,"")</f>
        <v>0</v>
      </c>
      <c r="AN12" s="115" t="n">
        <f aca="false">IFERROR(AN9+AN10,"")</f>
        <v>0</v>
      </c>
      <c r="AO12" s="115" t="n">
        <f aca="false">IFERROR(AO9+AO10,"")</f>
        <v>0</v>
      </c>
      <c r="AP12" s="115" t="n">
        <f aca="false">IFERROR(AP9+AP10,"")</f>
        <v>0</v>
      </c>
      <c r="AQ12" s="115" t="n">
        <f aca="false">IFERROR(AQ9+AQ10,"")</f>
        <v>0</v>
      </c>
      <c r="AR12" s="115" t="n">
        <f aca="false">IFERROR(AR9+AR10,"")</f>
        <v>0</v>
      </c>
      <c r="AS12" s="115" t="n">
        <f aca="false">IFERROR(AS9+AS10,"")</f>
        <v>0</v>
      </c>
      <c r="AT12" s="115" t="n">
        <f aca="false">IFERROR(AT9+AT10,"")</f>
        <v>0</v>
      </c>
      <c r="AU12" s="115" t="n">
        <f aca="false">IFERROR(AU9+AU10,"")</f>
        <v>0</v>
      </c>
      <c r="AV12" s="115" t="n">
        <f aca="false">IFERROR(AV9+AV10,"")</f>
        <v>0</v>
      </c>
      <c r="AW12" s="115" t="n">
        <f aca="false">IFERROR(AW9+AW10,"")</f>
        <v>0</v>
      </c>
      <c r="AX12" s="115" t="n">
        <f aca="false">IFERROR(AX9+AX10,"")</f>
        <v>0</v>
      </c>
      <c r="AY12" s="115" t="n">
        <f aca="false">IFERROR(AY9+AY10,"")</f>
        <v>0</v>
      </c>
      <c r="AZ12" s="115" t="n">
        <f aca="false">IFERROR(AZ9+AZ10,"")</f>
        <v>0</v>
      </c>
      <c r="BA12" s="115" t="n">
        <f aca="false">IFERROR(BA9+BA10,"")</f>
        <v>0</v>
      </c>
      <c r="BB12" s="115" t="n">
        <f aca="false">IFERROR(BB9+BB10,"")</f>
        <v>0</v>
      </c>
      <c r="BC12" s="115" t="n">
        <f aca="false">IFERROR(BC9+BC10,"")</f>
        <v>0</v>
      </c>
      <c r="BD12" s="115" t="n">
        <f aca="false">IFERROR(BD9+BD10,"")</f>
        <v>0</v>
      </c>
      <c r="BE12" s="115" t="n">
        <f aca="false">IFERROR(BE9+BE10,"")</f>
        <v>0</v>
      </c>
      <c r="BF12" s="115" t="n">
        <f aca="false">IFERROR(BF9+BF10,"")</f>
        <v>0</v>
      </c>
      <c r="BG12" s="115" t="n">
        <f aca="false">IFERROR(BG9+BG10,"")</f>
        <v>0</v>
      </c>
      <c r="BH12" s="115" t="n">
        <f aca="false">IFERROR(BH9+BH10,"")</f>
        <v>0</v>
      </c>
      <c r="BI12" s="115" t="n">
        <f aca="false">IFERROR(BI9+BI10,"")</f>
        <v>0</v>
      </c>
      <c r="BJ12" s="115" t="n">
        <f aca="false">IFERROR(BJ9+BJ10,"")</f>
        <v>0</v>
      </c>
    </row>
  </sheetData>
  <mergeCells count="7">
    <mergeCell ref="A1:BJ1"/>
    <mergeCell ref="A2:BJ2"/>
    <mergeCell ref="C3:N3"/>
    <mergeCell ref="O3:Z3"/>
    <mergeCell ref="AA3:AL3"/>
    <mergeCell ref="AM3:AX3"/>
    <mergeCell ref="AY3:B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12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62" min="3" style="1" width="10.57"/>
  </cols>
  <sheetData>
    <row r="1" customFormat="false" ht="21.75" hidden="false" customHeight="true" outlineLevel="0" collapsed="false">
      <c r="A1" s="47" t="s">
        <v>295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</row>
    <row r="2" customFormat="false" ht="15" hidden="false" customHeight="true" outlineLevel="0" collapsed="false">
      <c r="A2" s="26" t="s">
        <v>296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</row>
    <row r="3" customFormat="false" ht="15" hidden="false" customHeight="true" outlineLevel="0" collapsed="false">
      <c r="A3" s="104"/>
      <c r="B3" s="104"/>
      <c r="C3" s="105" t="str">
        <f aca="false">"YEAR 1   •   FY"&amp;(IF(ISNUMBER(Assumptions!$B$6),Assumptions!$B$6,2026)+0)&amp;"-"&amp;RIGHT((IF(ISNUMBER(Assumptions!$B$6),Assumptions!$B$6,2026)+0+1),2)</f>
        <v>YEAR 1   •   FY2026-27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6" t="str">
        <f aca="false">"YEAR 2   •   FY"&amp;(IF(ISNUMBER(Assumptions!$B$6),Assumptions!$B$6,2026)+1)&amp;"-"&amp;RIGHT((IF(ISNUMBER(Assumptions!$B$6),Assumptions!$B$6,2026)+1+1),2)</f>
        <v>YEAR 2   •   FY2027-28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5" t="str">
        <f aca="false">"YEAR 3   •   FY"&amp;(IF(ISNUMBER(Assumptions!$B$6),Assumptions!$B$6,2026)+2)&amp;"-"&amp;RIGHT((IF(ISNUMBER(Assumptions!$B$6),Assumptions!$B$6,2026)+2+1),2)</f>
        <v>YEAR 3   •   FY2028-29</v>
      </c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 t="str">
        <f aca="false">"YEAR 4   •   FY"&amp;(IF(ISNUMBER(Assumptions!$B$6),Assumptions!$B$6,2026)+3)&amp;"-"&amp;RIGHT((IF(ISNUMBER(Assumptions!$B$6),Assumptions!$B$6,2026)+3+1),2)</f>
        <v>YEAR 4   •   FY2029-30</v>
      </c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5" t="str">
        <f aca="false">"YEAR 5   •   FY"&amp;(IF(ISNUMBER(Assumptions!$B$6),Assumptions!$B$6,2026)+4)&amp;"-"&amp;RIGHT((IF(ISNUMBER(Assumptions!$B$6),Assumptions!$B$6,2026)+4+1),2)</f>
        <v>YEAR 5   •   FY2030-31</v>
      </c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</row>
    <row r="4" customFormat="false" ht="15" hidden="false" customHeight="true" outlineLevel="0" collapsed="false">
      <c r="A4" s="107" t="s">
        <v>284</v>
      </c>
      <c r="B4" s="108" t="s">
        <v>285</v>
      </c>
      <c r="C4" s="109" t="n">
        <f aca="false">DATE(IF(ISNUMBER(Assumptions!$B$6),Assumptions!$B$6,2026),4+0,1)</f>
        <v>46113</v>
      </c>
      <c r="D4" s="109" t="n">
        <f aca="false">DATE(IF(ISNUMBER(Assumptions!$B$6),Assumptions!$B$6,2026),4+1,1)</f>
        <v>46143</v>
      </c>
      <c r="E4" s="109" t="n">
        <f aca="false">DATE(IF(ISNUMBER(Assumptions!$B$6),Assumptions!$B$6,2026),4+2,1)</f>
        <v>46174</v>
      </c>
      <c r="F4" s="109" t="n">
        <f aca="false">DATE(IF(ISNUMBER(Assumptions!$B$6),Assumptions!$B$6,2026),4+3,1)</f>
        <v>46204</v>
      </c>
      <c r="G4" s="109" t="n">
        <f aca="false">DATE(IF(ISNUMBER(Assumptions!$B$6),Assumptions!$B$6,2026),4+4,1)</f>
        <v>46235</v>
      </c>
      <c r="H4" s="109" t="n">
        <f aca="false">DATE(IF(ISNUMBER(Assumptions!$B$6),Assumptions!$B$6,2026),4+5,1)</f>
        <v>46266</v>
      </c>
      <c r="I4" s="109" t="n">
        <f aca="false">DATE(IF(ISNUMBER(Assumptions!$B$6),Assumptions!$B$6,2026),4+6,1)</f>
        <v>46296</v>
      </c>
      <c r="J4" s="109" t="n">
        <f aca="false">DATE(IF(ISNUMBER(Assumptions!$B$6),Assumptions!$B$6,2026),4+7,1)</f>
        <v>46327</v>
      </c>
      <c r="K4" s="109" t="n">
        <f aca="false">DATE(IF(ISNUMBER(Assumptions!$B$6),Assumptions!$B$6,2026),4+8,1)</f>
        <v>46357</v>
      </c>
      <c r="L4" s="109" t="n">
        <f aca="false">DATE(IF(ISNUMBER(Assumptions!$B$6),Assumptions!$B$6,2026),4+9,1)</f>
        <v>46388</v>
      </c>
      <c r="M4" s="109" t="n">
        <f aca="false">DATE(IF(ISNUMBER(Assumptions!$B$6),Assumptions!$B$6,2026),4+10,1)</f>
        <v>46419</v>
      </c>
      <c r="N4" s="109" t="n">
        <f aca="false">DATE(IF(ISNUMBER(Assumptions!$B$6),Assumptions!$B$6,2026),4+11,1)</f>
        <v>46447</v>
      </c>
      <c r="O4" s="109" t="n">
        <f aca="false">DATE(IF(ISNUMBER(Assumptions!$B$6),Assumptions!$B$6,2026),4+12,1)</f>
        <v>46478</v>
      </c>
      <c r="P4" s="109" t="n">
        <f aca="false">DATE(IF(ISNUMBER(Assumptions!$B$6),Assumptions!$B$6,2026),4+13,1)</f>
        <v>46508</v>
      </c>
      <c r="Q4" s="109" t="n">
        <f aca="false">DATE(IF(ISNUMBER(Assumptions!$B$6),Assumptions!$B$6,2026),4+14,1)</f>
        <v>46539</v>
      </c>
      <c r="R4" s="109" t="n">
        <f aca="false">DATE(IF(ISNUMBER(Assumptions!$B$6),Assumptions!$B$6,2026),4+15,1)</f>
        <v>46569</v>
      </c>
      <c r="S4" s="109" t="n">
        <f aca="false">DATE(IF(ISNUMBER(Assumptions!$B$6),Assumptions!$B$6,2026),4+16,1)</f>
        <v>46600</v>
      </c>
      <c r="T4" s="109" t="n">
        <f aca="false">DATE(IF(ISNUMBER(Assumptions!$B$6),Assumptions!$B$6,2026),4+17,1)</f>
        <v>46631</v>
      </c>
      <c r="U4" s="109" t="n">
        <f aca="false">DATE(IF(ISNUMBER(Assumptions!$B$6),Assumptions!$B$6,2026),4+18,1)</f>
        <v>46661</v>
      </c>
      <c r="V4" s="109" t="n">
        <f aca="false">DATE(IF(ISNUMBER(Assumptions!$B$6),Assumptions!$B$6,2026),4+19,1)</f>
        <v>46692</v>
      </c>
      <c r="W4" s="109" t="n">
        <f aca="false">DATE(IF(ISNUMBER(Assumptions!$B$6),Assumptions!$B$6,2026),4+20,1)</f>
        <v>46722</v>
      </c>
      <c r="X4" s="109" t="n">
        <f aca="false">DATE(IF(ISNUMBER(Assumptions!$B$6),Assumptions!$B$6,2026),4+21,1)</f>
        <v>46753</v>
      </c>
      <c r="Y4" s="109" t="n">
        <f aca="false">DATE(IF(ISNUMBER(Assumptions!$B$6),Assumptions!$B$6,2026),4+22,1)</f>
        <v>46784</v>
      </c>
      <c r="Z4" s="109" t="n">
        <f aca="false">DATE(IF(ISNUMBER(Assumptions!$B$6),Assumptions!$B$6,2026),4+23,1)</f>
        <v>46813</v>
      </c>
      <c r="AA4" s="109" t="n">
        <f aca="false">DATE(IF(ISNUMBER(Assumptions!$B$6),Assumptions!$B$6,2026),4+24,1)</f>
        <v>46844</v>
      </c>
      <c r="AB4" s="109" t="n">
        <f aca="false">DATE(IF(ISNUMBER(Assumptions!$B$6),Assumptions!$B$6,2026),4+25,1)</f>
        <v>46874</v>
      </c>
      <c r="AC4" s="109" t="n">
        <f aca="false">DATE(IF(ISNUMBER(Assumptions!$B$6),Assumptions!$B$6,2026),4+26,1)</f>
        <v>46905</v>
      </c>
      <c r="AD4" s="109" t="n">
        <f aca="false">DATE(IF(ISNUMBER(Assumptions!$B$6),Assumptions!$B$6,2026),4+27,1)</f>
        <v>46935</v>
      </c>
      <c r="AE4" s="109" t="n">
        <f aca="false">DATE(IF(ISNUMBER(Assumptions!$B$6),Assumptions!$B$6,2026),4+28,1)</f>
        <v>46966</v>
      </c>
      <c r="AF4" s="109" t="n">
        <f aca="false">DATE(IF(ISNUMBER(Assumptions!$B$6),Assumptions!$B$6,2026),4+29,1)</f>
        <v>46997</v>
      </c>
      <c r="AG4" s="109" t="n">
        <f aca="false">DATE(IF(ISNUMBER(Assumptions!$B$6),Assumptions!$B$6,2026),4+30,1)</f>
        <v>47027</v>
      </c>
      <c r="AH4" s="109" t="n">
        <f aca="false">DATE(IF(ISNUMBER(Assumptions!$B$6),Assumptions!$B$6,2026),4+31,1)</f>
        <v>47058</v>
      </c>
      <c r="AI4" s="109" t="n">
        <f aca="false">DATE(IF(ISNUMBER(Assumptions!$B$6),Assumptions!$B$6,2026),4+32,1)</f>
        <v>47088</v>
      </c>
      <c r="AJ4" s="109" t="n">
        <f aca="false">DATE(IF(ISNUMBER(Assumptions!$B$6),Assumptions!$B$6,2026),4+33,1)</f>
        <v>47119</v>
      </c>
      <c r="AK4" s="109" t="n">
        <f aca="false">DATE(IF(ISNUMBER(Assumptions!$B$6),Assumptions!$B$6,2026),4+34,1)</f>
        <v>47150</v>
      </c>
      <c r="AL4" s="109" t="n">
        <f aca="false">DATE(IF(ISNUMBER(Assumptions!$B$6),Assumptions!$B$6,2026),4+35,1)</f>
        <v>47178</v>
      </c>
      <c r="AM4" s="109" t="n">
        <f aca="false">DATE(IF(ISNUMBER(Assumptions!$B$6),Assumptions!$B$6,2026),4+36,1)</f>
        <v>47209</v>
      </c>
      <c r="AN4" s="109" t="n">
        <f aca="false">DATE(IF(ISNUMBER(Assumptions!$B$6),Assumptions!$B$6,2026),4+37,1)</f>
        <v>47239</v>
      </c>
      <c r="AO4" s="109" t="n">
        <f aca="false">DATE(IF(ISNUMBER(Assumptions!$B$6),Assumptions!$B$6,2026),4+38,1)</f>
        <v>47270</v>
      </c>
      <c r="AP4" s="109" t="n">
        <f aca="false">DATE(IF(ISNUMBER(Assumptions!$B$6),Assumptions!$B$6,2026),4+39,1)</f>
        <v>47300</v>
      </c>
      <c r="AQ4" s="109" t="n">
        <f aca="false">DATE(IF(ISNUMBER(Assumptions!$B$6),Assumptions!$B$6,2026),4+40,1)</f>
        <v>47331</v>
      </c>
      <c r="AR4" s="109" t="n">
        <f aca="false">DATE(IF(ISNUMBER(Assumptions!$B$6),Assumptions!$B$6,2026),4+41,1)</f>
        <v>47362</v>
      </c>
      <c r="AS4" s="109" t="n">
        <f aca="false">DATE(IF(ISNUMBER(Assumptions!$B$6),Assumptions!$B$6,2026),4+42,1)</f>
        <v>47392</v>
      </c>
      <c r="AT4" s="109" t="n">
        <f aca="false">DATE(IF(ISNUMBER(Assumptions!$B$6),Assumptions!$B$6,2026),4+43,1)</f>
        <v>47423</v>
      </c>
      <c r="AU4" s="109" t="n">
        <f aca="false">DATE(IF(ISNUMBER(Assumptions!$B$6),Assumptions!$B$6,2026),4+44,1)</f>
        <v>47453</v>
      </c>
      <c r="AV4" s="109" t="n">
        <f aca="false">DATE(IF(ISNUMBER(Assumptions!$B$6),Assumptions!$B$6,2026),4+45,1)</f>
        <v>47484</v>
      </c>
      <c r="AW4" s="109" t="n">
        <f aca="false">DATE(IF(ISNUMBER(Assumptions!$B$6),Assumptions!$B$6,2026),4+46,1)</f>
        <v>47515</v>
      </c>
      <c r="AX4" s="109" t="n">
        <f aca="false">DATE(IF(ISNUMBER(Assumptions!$B$6),Assumptions!$B$6,2026),4+47,1)</f>
        <v>47543</v>
      </c>
      <c r="AY4" s="109" t="n">
        <f aca="false">DATE(IF(ISNUMBER(Assumptions!$B$6),Assumptions!$B$6,2026),4+48,1)</f>
        <v>47574</v>
      </c>
      <c r="AZ4" s="109" t="n">
        <f aca="false">DATE(IF(ISNUMBER(Assumptions!$B$6),Assumptions!$B$6,2026),4+49,1)</f>
        <v>47604</v>
      </c>
      <c r="BA4" s="109" t="n">
        <f aca="false">DATE(IF(ISNUMBER(Assumptions!$B$6),Assumptions!$B$6,2026),4+50,1)</f>
        <v>47635</v>
      </c>
      <c r="BB4" s="109" t="n">
        <f aca="false">DATE(IF(ISNUMBER(Assumptions!$B$6),Assumptions!$B$6,2026),4+51,1)</f>
        <v>47665</v>
      </c>
      <c r="BC4" s="109" t="n">
        <f aca="false">DATE(IF(ISNUMBER(Assumptions!$B$6),Assumptions!$B$6,2026),4+52,1)</f>
        <v>47696</v>
      </c>
      <c r="BD4" s="109" t="n">
        <f aca="false">DATE(IF(ISNUMBER(Assumptions!$B$6),Assumptions!$B$6,2026),4+53,1)</f>
        <v>47727</v>
      </c>
      <c r="BE4" s="109" t="n">
        <f aca="false">DATE(IF(ISNUMBER(Assumptions!$B$6),Assumptions!$B$6,2026),4+54,1)</f>
        <v>47757</v>
      </c>
      <c r="BF4" s="109" t="n">
        <f aca="false">DATE(IF(ISNUMBER(Assumptions!$B$6),Assumptions!$B$6,2026),4+55,1)</f>
        <v>47788</v>
      </c>
      <c r="BG4" s="109" t="n">
        <f aca="false">DATE(IF(ISNUMBER(Assumptions!$B$6),Assumptions!$B$6,2026),4+56,1)</f>
        <v>47818</v>
      </c>
      <c r="BH4" s="109" t="n">
        <f aca="false">DATE(IF(ISNUMBER(Assumptions!$B$6),Assumptions!$B$6,2026),4+57,1)</f>
        <v>47849</v>
      </c>
      <c r="BI4" s="109" t="n">
        <f aca="false">DATE(IF(ISNUMBER(Assumptions!$B$6),Assumptions!$B$6,2026),4+58,1)</f>
        <v>47880</v>
      </c>
      <c r="BJ4" s="109" t="n">
        <f aca="false">DATE(IF(ISNUMBER(Assumptions!$B$6),Assumptions!$B$6,2026),4+59,1)</f>
        <v>47908</v>
      </c>
    </row>
    <row r="5" customFormat="false" ht="15" hidden="false" customHeight="true" outlineLevel="0" collapsed="false">
      <c r="A5" s="110" t="s">
        <v>286</v>
      </c>
      <c r="C5" s="111" t="n">
        <v>1</v>
      </c>
      <c r="D5" s="111" t="n">
        <v>2</v>
      </c>
      <c r="E5" s="111" t="n">
        <v>3</v>
      </c>
      <c r="F5" s="111" t="n">
        <v>4</v>
      </c>
      <c r="G5" s="111" t="n">
        <v>5</v>
      </c>
      <c r="H5" s="111" t="n">
        <v>6</v>
      </c>
      <c r="I5" s="111" t="n">
        <v>7</v>
      </c>
      <c r="J5" s="111" t="n">
        <v>8</v>
      </c>
      <c r="K5" s="111" t="n">
        <v>9</v>
      </c>
      <c r="L5" s="111" t="n">
        <v>10</v>
      </c>
      <c r="M5" s="111" t="n">
        <v>11</v>
      </c>
      <c r="N5" s="111" t="n">
        <v>12</v>
      </c>
      <c r="O5" s="111" t="n">
        <v>13</v>
      </c>
      <c r="P5" s="111" t="n">
        <v>14</v>
      </c>
      <c r="Q5" s="111" t="n">
        <v>15</v>
      </c>
      <c r="R5" s="111" t="n">
        <v>16</v>
      </c>
      <c r="S5" s="111" t="n">
        <v>17</v>
      </c>
      <c r="T5" s="111" t="n">
        <v>18</v>
      </c>
      <c r="U5" s="111" t="n">
        <v>19</v>
      </c>
      <c r="V5" s="111" t="n">
        <v>20</v>
      </c>
      <c r="W5" s="111" t="n">
        <v>21</v>
      </c>
      <c r="X5" s="111" t="n">
        <v>22</v>
      </c>
      <c r="Y5" s="111" t="n">
        <v>23</v>
      </c>
      <c r="Z5" s="111" t="n">
        <v>24</v>
      </c>
      <c r="AA5" s="111" t="n">
        <v>25</v>
      </c>
      <c r="AB5" s="111" t="n">
        <v>26</v>
      </c>
      <c r="AC5" s="111" t="n">
        <v>27</v>
      </c>
      <c r="AD5" s="111" t="n">
        <v>28</v>
      </c>
      <c r="AE5" s="111" t="n">
        <v>29</v>
      </c>
      <c r="AF5" s="111" t="n">
        <v>30</v>
      </c>
      <c r="AG5" s="111" t="n">
        <v>31</v>
      </c>
      <c r="AH5" s="111" t="n">
        <v>32</v>
      </c>
      <c r="AI5" s="111" t="n">
        <v>33</v>
      </c>
      <c r="AJ5" s="111" t="n">
        <v>34</v>
      </c>
      <c r="AK5" s="111" t="n">
        <v>35</v>
      </c>
      <c r="AL5" s="111" t="n">
        <v>36</v>
      </c>
      <c r="AM5" s="111" t="n">
        <v>37</v>
      </c>
      <c r="AN5" s="111" t="n">
        <v>38</v>
      </c>
      <c r="AO5" s="111" t="n">
        <v>39</v>
      </c>
      <c r="AP5" s="111" t="n">
        <v>40</v>
      </c>
      <c r="AQ5" s="111" t="n">
        <v>41</v>
      </c>
      <c r="AR5" s="111" t="n">
        <v>42</v>
      </c>
      <c r="AS5" s="111" t="n">
        <v>43</v>
      </c>
      <c r="AT5" s="111" t="n">
        <v>44</v>
      </c>
      <c r="AU5" s="111" t="n">
        <v>45</v>
      </c>
      <c r="AV5" s="111" t="n">
        <v>46</v>
      </c>
      <c r="AW5" s="111" t="n">
        <v>47</v>
      </c>
      <c r="AX5" s="111" t="n">
        <v>48</v>
      </c>
      <c r="AY5" s="111" t="n">
        <v>49</v>
      </c>
      <c r="AZ5" s="111" t="n">
        <v>50</v>
      </c>
      <c r="BA5" s="111" t="n">
        <v>51</v>
      </c>
      <c r="BB5" s="111" t="n">
        <v>52</v>
      </c>
      <c r="BC5" s="111" t="n">
        <v>53</v>
      </c>
      <c r="BD5" s="111" t="n">
        <v>54</v>
      </c>
      <c r="BE5" s="111" t="n">
        <v>55</v>
      </c>
      <c r="BF5" s="111" t="n">
        <v>56</v>
      </c>
      <c r="BG5" s="111" t="n">
        <v>57</v>
      </c>
      <c r="BH5" s="111" t="n">
        <v>58</v>
      </c>
      <c r="BI5" s="111" t="n">
        <v>59</v>
      </c>
      <c r="BJ5" s="111" t="n">
        <v>60</v>
      </c>
    </row>
    <row r="6" customFormat="false" ht="15" hidden="false" customHeight="true" outlineLevel="0" collapsed="false">
      <c r="A6" s="110" t="s">
        <v>287</v>
      </c>
      <c r="C6" s="111" t="n">
        <v>1</v>
      </c>
      <c r="D6" s="111" t="n">
        <v>1</v>
      </c>
      <c r="E6" s="111" t="n">
        <v>1</v>
      </c>
      <c r="F6" s="111" t="n">
        <v>1</v>
      </c>
      <c r="G6" s="111" t="n">
        <v>1</v>
      </c>
      <c r="H6" s="111" t="n">
        <v>1</v>
      </c>
      <c r="I6" s="111" t="n">
        <v>1</v>
      </c>
      <c r="J6" s="111" t="n">
        <v>1</v>
      </c>
      <c r="K6" s="111" t="n">
        <v>1</v>
      </c>
      <c r="L6" s="111" t="n">
        <v>1</v>
      </c>
      <c r="M6" s="111" t="n">
        <v>1</v>
      </c>
      <c r="N6" s="111" t="n">
        <v>1</v>
      </c>
      <c r="O6" s="111" t="n">
        <v>2</v>
      </c>
      <c r="P6" s="111" t="n">
        <v>2</v>
      </c>
      <c r="Q6" s="111" t="n">
        <v>2</v>
      </c>
      <c r="R6" s="111" t="n">
        <v>2</v>
      </c>
      <c r="S6" s="111" t="n">
        <v>2</v>
      </c>
      <c r="T6" s="111" t="n">
        <v>2</v>
      </c>
      <c r="U6" s="111" t="n">
        <v>2</v>
      </c>
      <c r="V6" s="111" t="n">
        <v>2</v>
      </c>
      <c r="W6" s="111" t="n">
        <v>2</v>
      </c>
      <c r="X6" s="111" t="n">
        <v>2</v>
      </c>
      <c r="Y6" s="111" t="n">
        <v>2</v>
      </c>
      <c r="Z6" s="111" t="n">
        <v>2</v>
      </c>
      <c r="AA6" s="111" t="n">
        <v>3</v>
      </c>
      <c r="AB6" s="111" t="n">
        <v>3</v>
      </c>
      <c r="AC6" s="111" t="n">
        <v>3</v>
      </c>
      <c r="AD6" s="111" t="n">
        <v>3</v>
      </c>
      <c r="AE6" s="111" t="n">
        <v>3</v>
      </c>
      <c r="AF6" s="111" t="n">
        <v>3</v>
      </c>
      <c r="AG6" s="111" t="n">
        <v>3</v>
      </c>
      <c r="AH6" s="111" t="n">
        <v>3</v>
      </c>
      <c r="AI6" s="111" t="n">
        <v>3</v>
      </c>
      <c r="AJ6" s="111" t="n">
        <v>3</v>
      </c>
      <c r="AK6" s="111" t="n">
        <v>3</v>
      </c>
      <c r="AL6" s="111" t="n">
        <v>3</v>
      </c>
      <c r="AM6" s="111" t="n">
        <v>4</v>
      </c>
      <c r="AN6" s="111" t="n">
        <v>4</v>
      </c>
      <c r="AO6" s="111" t="n">
        <v>4</v>
      </c>
      <c r="AP6" s="111" t="n">
        <v>4</v>
      </c>
      <c r="AQ6" s="111" t="n">
        <v>4</v>
      </c>
      <c r="AR6" s="111" t="n">
        <v>4</v>
      </c>
      <c r="AS6" s="111" t="n">
        <v>4</v>
      </c>
      <c r="AT6" s="111" t="n">
        <v>4</v>
      </c>
      <c r="AU6" s="111" t="n">
        <v>4</v>
      </c>
      <c r="AV6" s="111" t="n">
        <v>4</v>
      </c>
      <c r="AW6" s="111" t="n">
        <v>4</v>
      </c>
      <c r="AX6" s="111" t="n">
        <v>4</v>
      </c>
      <c r="AY6" s="111" t="n">
        <v>5</v>
      </c>
      <c r="AZ6" s="111" t="n">
        <v>5</v>
      </c>
      <c r="BA6" s="111" t="n">
        <v>5</v>
      </c>
      <c r="BB6" s="111" t="n">
        <v>5</v>
      </c>
      <c r="BC6" s="111" t="n">
        <v>5</v>
      </c>
      <c r="BD6" s="111" t="n">
        <v>5</v>
      </c>
      <c r="BE6" s="111" t="n">
        <v>5</v>
      </c>
      <c r="BF6" s="111" t="n">
        <v>5</v>
      </c>
      <c r="BG6" s="111" t="n">
        <v>5</v>
      </c>
      <c r="BH6" s="111" t="n">
        <v>5</v>
      </c>
      <c r="BI6" s="111" t="n">
        <v>5</v>
      </c>
      <c r="BJ6" s="111" t="n">
        <v>5</v>
      </c>
    </row>
    <row r="7" customFormat="false" ht="15" hidden="false" customHeight="true" outlineLevel="0" collapsed="false">
      <c r="A7" s="114" t="s">
        <v>297</v>
      </c>
      <c r="B7" s="111" t="s">
        <v>112</v>
      </c>
      <c r="C7" s="116" t="n">
        <f aca="false">IFERROR(Assumptions!$B$16,"")</f>
        <v>0</v>
      </c>
      <c r="D7" s="116" t="n">
        <f aca="false">IFERROR(Assumptions!$B$17,"")</f>
        <v>0</v>
      </c>
      <c r="E7" s="116" t="n">
        <f aca="false">IFERROR(Assumptions!$B$18,"")</f>
        <v>0</v>
      </c>
      <c r="F7" s="116" t="n">
        <f aca="false">IFERROR(Assumptions!$B$19,"")</f>
        <v>0</v>
      </c>
      <c r="G7" s="116" t="n">
        <f aca="false">IFERROR(Assumptions!$B$20,"")</f>
        <v>0</v>
      </c>
      <c r="H7" s="116" t="n">
        <f aca="false">IFERROR(Assumptions!$B$21,"")</f>
        <v>0</v>
      </c>
      <c r="I7" s="116" t="n">
        <f aca="false">IFERROR(Assumptions!$B$22,"")</f>
        <v>0</v>
      </c>
      <c r="J7" s="116" t="n">
        <f aca="false">IFERROR(Assumptions!$B$23,"")</f>
        <v>0</v>
      </c>
      <c r="K7" s="116" t="n">
        <f aca="false">IFERROR(Assumptions!$B$24,"")</f>
        <v>0</v>
      </c>
      <c r="L7" s="116" t="n">
        <f aca="false">IFERROR(Assumptions!$B$25,"")</f>
        <v>0</v>
      </c>
      <c r="M7" s="116" t="n">
        <f aca="false">IFERROR(Assumptions!$B$26,"")</f>
        <v>0</v>
      </c>
      <c r="N7" s="116" t="n">
        <f aca="false">IFERROR(Assumptions!$B$27,"")</f>
        <v>0</v>
      </c>
      <c r="O7" s="116" t="n">
        <f aca="false">IFERROR(Assumptions!$B$28,"")</f>
        <v>0</v>
      </c>
      <c r="P7" s="116" t="n">
        <f aca="false">IFERROR(Assumptions!$B$28,"")</f>
        <v>0</v>
      </c>
      <c r="Q7" s="116" t="n">
        <f aca="false">IFERROR(Assumptions!$B$28,"")</f>
        <v>0</v>
      </c>
      <c r="R7" s="116" t="n">
        <f aca="false">IFERROR(Assumptions!$B$28,"")</f>
        <v>0</v>
      </c>
      <c r="S7" s="116" t="n">
        <f aca="false">IFERROR(Assumptions!$B$28,"")</f>
        <v>0</v>
      </c>
      <c r="T7" s="116" t="n">
        <f aca="false">IFERROR(Assumptions!$B$28,"")</f>
        <v>0</v>
      </c>
      <c r="U7" s="116" t="n">
        <f aca="false">IFERROR(Assumptions!$B$28,"")</f>
        <v>0</v>
      </c>
      <c r="V7" s="116" t="n">
        <f aca="false">IFERROR(Assumptions!$B$28,"")</f>
        <v>0</v>
      </c>
      <c r="W7" s="116" t="n">
        <f aca="false">IFERROR(Assumptions!$B$28,"")</f>
        <v>0</v>
      </c>
      <c r="X7" s="116" t="n">
        <f aca="false">IFERROR(Assumptions!$B$28,"")</f>
        <v>0</v>
      </c>
      <c r="Y7" s="116" t="n">
        <f aca="false">IFERROR(Assumptions!$B$28,"")</f>
        <v>0</v>
      </c>
      <c r="Z7" s="116" t="n">
        <f aca="false">IFERROR(Assumptions!$B$28,"")</f>
        <v>0</v>
      </c>
      <c r="AA7" s="116" t="n">
        <f aca="false">IFERROR(Assumptions!$B$29,"")</f>
        <v>0</v>
      </c>
      <c r="AB7" s="116" t="n">
        <f aca="false">IFERROR(Assumptions!$B$29,"")</f>
        <v>0</v>
      </c>
      <c r="AC7" s="116" t="n">
        <f aca="false">IFERROR(Assumptions!$B$29,"")</f>
        <v>0</v>
      </c>
      <c r="AD7" s="116" t="n">
        <f aca="false">IFERROR(Assumptions!$B$29,"")</f>
        <v>0</v>
      </c>
      <c r="AE7" s="116" t="n">
        <f aca="false">IFERROR(Assumptions!$B$29,"")</f>
        <v>0</v>
      </c>
      <c r="AF7" s="116" t="n">
        <f aca="false">IFERROR(Assumptions!$B$29,"")</f>
        <v>0</v>
      </c>
      <c r="AG7" s="116" t="n">
        <f aca="false">IFERROR(Assumptions!$B$29,"")</f>
        <v>0</v>
      </c>
      <c r="AH7" s="116" t="n">
        <f aca="false">IFERROR(Assumptions!$B$29,"")</f>
        <v>0</v>
      </c>
      <c r="AI7" s="116" t="n">
        <f aca="false">IFERROR(Assumptions!$B$29,"")</f>
        <v>0</v>
      </c>
      <c r="AJ7" s="116" t="n">
        <f aca="false">IFERROR(Assumptions!$B$29,"")</f>
        <v>0</v>
      </c>
      <c r="AK7" s="116" t="n">
        <f aca="false">IFERROR(Assumptions!$B$29,"")</f>
        <v>0</v>
      </c>
      <c r="AL7" s="116" t="n">
        <f aca="false">IFERROR(Assumptions!$B$29,"")</f>
        <v>0</v>
      </c>
      <c r="AM7" s="116" t="n">
        <f aca="false">IFERROR(Assumptions!$B$30,"")</f>
        <v>0</v>
      </c>
      <c r="AN7" s="116" t="n">
        <f aca="false">IFERROR(Assumptions!$B$30,"")</f>
        <v>0</v>
      </c>
      <c r="AO7" s="116" t="n">
        <f aca="false">IFERROR(Assumptions!$B$30,"")</f>
        <v>0</v>
      </c>
      <c r="AP7" s="116" t="n">
        <f aca="false">IFERROR(Assumptions!$B$30,"")</f>
        <v>0</v>
      </c>
      <c r="AQ7" s="116" t="n">
        <f aca="false">IFERROR(Assumptions!$B$30,"")</f>
        <v>0</v>
      </c>
      <c r="AR7" s="116" t="n">
        <f aca="false">IFERROR(Assumptions!$B$30,"")</f>
        <v>0</v>
      </c>
      <c r="AS7" s="116" t="n">
        <f aca="false">IFERROR(Assumptions!$B$30,"")</f>
        <v>0</v>
      </c>
      <c r="AT7" s="116" t="n">
        <f aca="false">IFERROR(Assumptions!$B$30,"")</f>
        <v>0</v>
      </c>
      <c r="AU7" s="116" t="n">
        <f aca="false">IFERROR(Assumptions!$B$30,"")</f>
        <v>0</v>
      </c>
      <c r="AV7" s="116" t="n">
        <f aca="false">IFERROR(Assumptions!$B$30,"")</f>
        <v>0</v>
      </c>
      <c r="AW7" s="116" t="n">
        <f aca="false">IFERROR(Assumptions!$B$30,"")</f>
        <v>0</v>
      </c>
      <c r="AX7" s="116" t="n">
        <f aca="false">IFERROR(Assumptions!$B$30,"")</f>
        <v>0</v>
      </c>
      <c r="AY7" s="116" t="n">
        <f aca="false">IFERROR(Assumptions!$B$31,"")</f>
        <v>0</v>
      </c>
      <c r="AZ7" s="116" t="n">
        <f aca="false">IFERROR(Assumptions!$B$31,"")</f>
        <v>0</v>
      </c>
      <c r="BA7" s="116" t="n">
        <f aca="false">IFERROR(Assumptions!$B$31,"")</f>
        <v>0</v>
      </c>
      <c r="BB7" s="116" t="n">
        <f aca="false">IFERROR(Assumptions!$B$31,"")</f>
        <v>0</v>
      </c>
      <c r="BC7" s="116" t="n">
        <f aca="false">IFERROR(Assumptions!$B$31,"")</f>
        <v>0</v>
      </c>
      <c r="BD7" s="116" t="n">
        <f aca="false">IFERROR(Assumptions!$B$31,"")</f>
        <v>0</v>
      </c>
      <c r="BE7" s="116" t="n">
        <f aca="false">IFERROR(Assumptions!$B$31,"")</f>
        <v>0</v>
      </c>
      <c r="BF7" s="116" t="n">
        <f aca="false">IFERROR(Assumptions!$B$31,"")</f>
        <v>0</v>
      </c>
      <c r="BG7" s="116" t="n">
        <f aca="false">IFERROR(Assumptions!$B$31,"")</f>
        <v>0</v>
      </c>
      <c r="BH7" s="116" t="n">
        <f aca="false">IFERROR(Assumptions!$B$31,"")</f>
        <v>0</v>
      </c>
      <c r="BI7" s="116" t="n">
        <f aca="false">IFERROR(Assumptions!$B$31,"")</f>
        <v>0</v>
      </c>
      <c r="BJ7" s="116" t="n">
        <f aca="false">IFERROR(Assumptions!$B$31,"")</f>
        <v>0</v>
      </c>
    </row>
    <row r="8" customFormat="false" ht="15" hidden="false" customHeight="true" outlineLevel="0" collapsed="false">
      <c r="A8" s="114" t="str">
        <f aca="false">IFERROR(INDEX('Industry Labels'!$C$5:$Z$5,MATCH(Assumptions!$B$3,'Industry Labels'!$C$4:$Z$4,0)),"Installed / service capacity")</f>
        <v>Installed / service capacity</v>
      </c>
      <c r="B8" s="111" t="str">
        <f aca="false">IFERROR(INDEX('Industry Labels'!$C$6:$Z$6,MATCH(Assumptions!$B$3,'Industry Labels'!$C$4:$Z$4,0)),"units/month")</f>
        <v>units/month</v>
      </c>
      <c r="C8" s="100" t="n">
        <f aca="false">IFERROR(Assumptions!$B$5,"")</f>
        <v>0</v>
      </c>
      <c r="D8" s="100" t="n">
        <f aca="false">IFERROR(Assumptions!$B$5,"")</f>
        <v>0</v>
      </c>
      <c r="E8" s="100" t="n">
        <f aca="false">IFERROR(Assumptions!$B$5,"")</f>
        <v>0</v>
      </c>
      <c r="F8" s="100" t="n">
        <f aca="false">IFERROR(Assumptions!$B$5,"")</f>
        <v>0</v>
      </c>
      <c r="G8" s="100" t="n">
        <f aca="false">IFERROR(Assumptions!$B$5,"")</f>
        <v>0</v>
      </c>
      <c r="H8" s="100" t="n">
        <f aca="false">IFERROR(Assumptions!$B$5,"")</f>
        <v>0</v>
      </c>
      <c r="I8" s="100" t="n">
        <f aca="false">IFERROR(Assumptions!$B$5,"")</f>
        <v>0</v>
      </c>
      <c r="J8" s="100" t="n">
        <f aca="false">IFERROR(Assumptions!$B$5,"")</f>
        <v>0</v>
      </c>
      <c r="K8" s="100" t="n">
        <f aca="false">IFERROR(Assumptions!$B$5,"")</f>
        <v>0</v>
      </c>
      <c r="L8" s="100" t="n">
        <f aca="false">IFERROR(Assumptions!$B$5,"")</f>
        <v>0</v>
      </c>
      <c r="M8" s="100" t="n">
        <f aca="false">IFERROR(Assumptions!$B$5,"")</f>
        <v>0</v>
      </c>
      <c r="N8" s="100" t="n">
        <f aca="false">IFERROR(Assumptions!$B$5,"")</f>
        <v>0</v>
      </c>
      <c r="O8" s="100" t="n">
        <f aca="false">IFERROR(Assumptions!$B$5,"")</f>
        <v>0</v>
      </c>
      <c r="P8" s="100" t="n">
        <f aca="false">IFERROR(Assumptions!$B$5,"")</f>
        <v>0</v>
      </c>
      <c r="Q8" s="100" t="n">
        <f aca="false">IFERROR(Assumptions!$B$5,"")</f>
        <v>0</v>
      </c>
      <c r="R8" s="100" t="n">
        <f aca="false">IFERROR(Assumptions!$B$5,"")</f>
        <v>0</v>
      </c>
      <c r="S8" s="100" t="n">
        <f aca="false">IFERROR(Assumptions!$B$5,"")</f>
        <v>0</v>
      </c>
      <c r="T8" s="100" t="n">
        <f aca="false">IFERROR(Assumptions!$B$5,"")</f>
        <v>0</v>
      </c>
      <c r="U8" s="100" t="n">
        <f aca="false">IFERROR(Assumptions!$B$5,"")</f>
        <v>0</v>
      </c>
      <c r="V8" s="100" t="n">
        <f aca="false">IFERROR(Assumptions!$B$5,"")</f>
        <v>0</v>
      </c>
      <c r="W8" s="100" t="n">
        <f aca="false">IFERROR(Assumptions!$B$5,"")</f>
        <v>0</v>
      </c>
      <c r="X8" s="100" t="n">
        <f aca="false">IFERROR(Assumptions!$B$5,"")</f>
        <v>0</v>
      </c>
      <c r="Y8" s="100" t="n">
        <f aca="false">IFERROR(Assumptions!$B$5,"")</f>
        <v>0</v>
      </c>
      <c r="Z8" s="100" t="n">
        <f aca="false">IFERROR(Assumptions!$B$5,"")</f>
        <v>0</v>
      </c>
      <c r="AA8" s="100" t="n">
        <f aca="false">IFERROR(Assumptions!$B$5,"")</f>
        <v>0</v>
      </c>
      <c r="AB8" s="100" t="n">
        <f aca="false">IFERROR(Assumptions!$B$5,"")</f>
        <v>0</v>
      </c>
      <c r="AC8" s="100" t="n">
        <f aca="false">IFERROR(Assumptions!$B$5,"")</f>
        <v>0</v>
      </c>
      <c r="AD8" s="100" t="n">
        <f aca="false">IFERROR(Assumptions!$B$5,"")</f>
        <v>0</v>
      </c>
      <c r="AE8" s="100" t="n">
        <f aca="false">IFERROR(Assumptions!$B$5,"")</f>
        <v>0</v>
      </c>
      <c r="AF8" s="100" t="n">
        <f aca="false">IFERROR(Assumptions!$B$5,"")</f>
        <v>0</v>
      </c>
      <c r="AG8" s="100" t="n">
        <f aca="false">IFERROR(Assumptions!$B$5,"")</f>
        <v>0</v>
      </c>
      <c r="AH8" s="100" t="n">
        <f aca="false">IFERROR(Assumptions!$B$5,"")</f>
        <v>0</v>
      </c>
      <c r="AI8" s="100" t="n">
        <f aca="false">IFERROR(Assumptions!$B$5,"")</f>
        <v>0</v>
      </c>
      <c r="AJ8" s="100" t="n">
        <f aca="false">IFERROR(Assumptions!$B$5,"")</f>
        <v>0</v>
      </c>
      <c r="AK8" s="100" t="n">
        <f aca="false">IFERROR(Assumptions!$B$5,"")</f>
        <v>0</v>
      </c>
      <c r="AL8" s="100" t="n">
        <f aca="false">IFERROR(Assumptions!$B$5,"")</f>
        <v>0</v>
      </c>
      <c r="AM8" s="100" t="n">
        <f aca="false">IFERROR(Assumptions!$B$5,"")</f>
        <v>0</v>
      </c>
      <c r="AN8" s="100" t="n">
        <f aca="false">IFERROR(Assumptions!$B$5,"")</f>
        <v>0</v>
      </c>
      <c r="AO8" s="100" t="n">
        <f aca="false">IFERROR(Assumptions!$B$5,"")</f>
        <v>0</v>
      </c>
      <c r="AP8" s="100" t="n">
        <f aca="false">IFERROR(Assumptions!$B$5,"")</f>
        <v>0</v>
      </c>
      <c r="AQ8" s="100" t="n">
        <f aca="false">IFERROR(Assumptions!$B$5,"")</f>
        <v>0</v>
      </c>
      <c r="AR8" s="100" t="n">
        <f aca="false">IFERROR(Assumptions!$B$5,"")</f>
        <v>0</v>
      </c>
      <c r="AS8" s="100" t="n">
        <f aca="false">IFERROR(Assumptions!$B$5,"")</f>
        <v>0</v>
      </c>
      <c r="AT8" s="100" t="n">
        <f aca="false">IFERROR(Assumptions!$B$5,"")</f>
        <v>0</v>
      </c>
      <c r="AU8" s="100" t="n">
        <f aca="false">IFERROR(Assumptions!$B$5,"")</f>
        <v>0</v>
      </c>
      <c r="AV8" s="100" t="n">
        <f aca="false">IFERROR(Assumptions!$B$5,"")</f>
        <v>0</v>
      </c>
      <c r="AW8" s="100" t="n">
        <f aca="false">IFERROR(Assumptions!$B$5,"")</f>
        <v>0</v>
      </c>
      <c r="AX8" s="100" t="n">
        <f aca="false">IFERROR(Assumptions!$B$5,"")</f>
        <v>0</v>
      </c>
      <c r="AY8" s="100" t="n">
        <f aca="false">IFERROR(Assumptions!$B$5,"")</f>
        <v>0</v>
      </c>
      <c r="AZ8" s="100" t="n">
        <f aca="false">IFERROR(Assumptions!$B$5,"")</f>
        <v>0</v>
      </c>
      <c r="BA8" s="100" t="n">
        <f aca="false">IFERROR(Assumptions!$B$5,"")</f>
        <v>0</v>
      </c>
      <c r="BB8" s="100" t="n">
        <f aca="false">IFERROR(Assumptions!$B$5,"")</f>
        <v>0</v>
      </c>
      <c r="BC8" s="100" t="n">
        <f aca="false">IFERROR(Assumptions!$B$5,"")</f>
        <v>0</v>
      </c>
      <c r="BD8" s="100" t="n">
        <f aca="false">IFERROR(Assumptions!$B$5,"")</f>
        <v>0</v>
      </c>
      <c r="BE8" s="100" t="n">
        <f aca="false">IFERROR(Assumptions!$B$5,"")</f>
        <v>0</v>
      </c>
      <c r="BF8" s="100" t="n">
        <f aca="false">IFERROR(Assumptions!$B$5,"")</f>
        <v>0</v>
      </c>
      <c r="BG8" s="100" t="n">
        <f aca="false">IFERROR(Assumptions!$B$5,"")</f>
        <v>0</v>
      </c>
      <c r="BH8" s="100" t="n">
        <f aca="false">IFERROR(Assumptions!$B$5,"")</f>
        <v>0</v>
      </c>
      <c r="BI8" s="100" t="n">
        <f aca="false">IFERROR(Assumptions!$B$5,"")</f>
        <v>0</v>
      </c>
      <c r="BJ8" s="100" t="n">
        <f aca="false">IFERROR(Assumptions!$B$5,"")</f>
        <v>0</v>
      </c>
    </row>
    <row r="9" customFormat="false" ht="15" hidden="false" customHeight="true" outlineLevel="0" collapsed="false">
      <c r="A9" s="112" t="s">
        <v>298</v>
      </c>
      <c r="B9" s="111" t="str">
        <f aca="false">IFERROR(INDEX('Industry Labels'!$C$7:$Z$7,MATCH(Assumptions!$B$3,'Industry Labels'!$C$4:$Z$4,0)),"units")</f>
        <v>units</v>
      </c>
      <c r="C9" s="117" t="n">
        <f aca="false">IFERROR(C8*C7,"")</f>
        <v>0</v>
      </c>
      <c r="D9" s="117" t="n">
        <f aca="false">IFERROR(D8*D7,"")</f>
        <v>0</v>
      </c>
      <c r="E9" s="117" t="n">
        <f aca="false">IFERROR(E8*E7,"")</f>
        <v>0</v>
      </c>
      <c r="F9" s="117" t="n">
        <f aca="false">IFERROR(F8*F7,"")</f>
        <v>0</v>
      </c>
      <c r="G9" s="117" t="n">
        <f aca="false">IFERROR(G8*G7,"")</f>
        <v>0</v>
      </c>
      <c r="H9" s="117" t="n">
        <f aca="false">IFERROR(H8*H7,"")</f>
        <v>0</v>
      </c>
      <c r="I9" s="117" t="n">
        <f aca="false">IFERROR(I8*I7,"")</f>
        <v>0</v>
      </c>
      <c r="J9" s="117" t="n">
        <f aca="false">IFERROR(J8*J7,"")</f>
        <v>0</v>
      </c>
      <c r="K9" s="117" t="n">
        <f aca="false">IFERROR(K8*K7,"")</f>
        <v>0</v>
      </c>
      <c r="L9" s="117" t="n">
        <f aca="false">IFERROR(L8*L7,"")</f>
        <v>0</v>
      </c>
      <c r="M9" s="117" t="n">
        <f aca="false">IFERROR(M8*M7,"")</f>
        <v>0</v>
      </c>
      <c r="N9" s="117" t="n">
        <f aca="false">IFERROR(N8*N7,"")</f>
        <v>0</v>
      </c>
      <c r="O9" s="117" t="n">
        <f aca="false">IFERROR(O8*O7,"")</f>
        <v>0</v>
      </c>
      <c r="P9" s="117" t="n">
        <f aca="false">IFERROR(P8*P7,"")</f>
        <v>0</v>
      </c>
      <c r="Q9" s="117" t="n">
        <f aca="false">IFERROR(Q8*Q7,"")</f>
        <v>0</v>
      </c>
      <c r="R9" s="117" t="n">
        <f aca="false">IFERROR(R8*R7,"")</f>
        <v>0</v>
      </c>
      <c r="S9" s="117" t="n">
        <f aca="false">IFERROR(S8*S7,"")</f>
        <v>0</v>
      </c>
      <c r="T9" s="117" t="n">
        <f aca="false">IFERROR(T8*T7,"")</f>
        <v>0</v>
      </c>
      <c r="U9" s="117" t="n">
        <f aca="false">IFERROR(U8*U7,"")</f>
        <v>0</v>
      </c>
      <c r="V9" s="117" t="n">
        <f aca="false">IFERROR(V8*V7,"")</f>
        <v>0</v>
      </c>
      <c r="W9" s="117" t="n">
        <f aca="false">IFERROR(W8*W7,"")</f>
        <v>0</v>
      </c>
      <c r="X9" s="117" t="n">
        <f aca="false">IFERROR(X8*X7,"")</f>
        <v>0</v>
      </c>
      <c r="Y9" s="117" t="n">
        <f aca="false">IFERROR(Y8*Y7,"")</f>
        <v>0</v>
      </c>
      <c r="Z9" s="117" t="n">
        <f aca="false">IFERROR(Z8*Z7,"")</f>
        <v>0</v>
      </c>
      <c r="AA9" s="117" t="n">
        <f aca="false">IFERROR(AA8*AA7,"")</f>
        <v>0</v>
      </c>
      <c r="AB9" s="117" t="n">
        <f aca="false">IFERROR(AB8*AB7,"")</f>
        <v>0</v>
      </c>
      <c r="AC9" s="117" t="n">
        <f aca="false">IFERROR(AC8*AC7,"")</f>
        <v>0</v>
      </c>
      <c r="AD9" s="117" t="n">
        <f aca="false">IFERROR(AD8*AD7,"")</f>
        <v>0</v>
      </c>
      <c r="AE9" s="117" t="n">
        <f aca="false">IFERROR(AE8*AE7,"")</f>
        <v>0</v>
      </c>
      <c r="AF9" s="117" t="n">
        <f aca="false">IFERROR(AF8*AF7,"")</f>
        <v>0</v>
      </c>
      <c r="AG9" s="117" t="n">
        <f aca="false">IFERROR(AG8*AG7,"")</f>
        <v>0</v>
      </c>
      <c r="AH9" s="117" t="n">
        <f aca="false">IFERROR(AH8*AH7,"")</f>
        <v>0</v>
      </c>
      <c r="AI9" s="117" t="n">
        <f aca="false">IFERROR(AI8*AI7,"")</f>
        <v>0</v>
      </c>
      <c r="AJ9" s="117" t="n">
        <f aca="false">IFERROR(AJ8*AJ7,"")</f>
        <v>0</v>
      </c>
      <c r="AK9" s="117" t="n">
        <f aca="false">IFERROR(AK8*AK7,"")</f>
        <v>0</v>
      </c>
      <c r="AL9" s="117" t="n">
        <f aca="false">IFERROR(AL8*AL7,"")</f>
        <v>0</v>
      </c>
      <c r="AM9" s="117" t="n">
        <f aca="false">IFERROR(AM8*AM7,"")</f>
        <v>0</v>
      </c>
      <c r="AN9" s="117" t="n">
        <f aca="false">IFERROR(AN8*AN7,"")</f>
        <v>0</v>
      </c>
      <c r="AO9" s="117" t="n">
        <f aca="false">IFERROR(AO8*AO7,"")</f>
        <v>0</v>
      </c>
      <c r="AP9" s="117" t="n">
        <f aca="false">IFERROR(AP8*AP7,"")</f>
        <v>0</v>
      </c>
      <c r="AQ9" s="117" t="n">
        <f aca="false">IFERROR(AQ8*AQ7,"")</f>
        <v>0</v>
      </c>
      <c r="AR9" s="117" t="n">
        <f aca="false">IFERROR(AR8*AR7,"")</f>
        <v>0</v>
      </c>
      <c r="AS9" s="117" t="n">
        <f aca="false">IFERROR(AS8*AS7,"")</f>
        <v>0</v>
      </c>
      <c r="AT9" s="117" t="n">
        <f aca="false">IFERROR(AT8*AT7,"")</f>
        <v>0</v>
      </c>
      <c r="AU9" s="117" t="n">
        <f aca="false">IFERROR(AU8*AU7,"")</f>
        <v>0</v>
      </c>
      <c r="AV9" s="117" t="n">
        <f aca="false">IFERROR(AV8*AV7,"")</f>
        <v>0</v>
      </c>
      <c r="AW9" s="117" t="n">
        <f aca="false">IFERROR(AW8*AW7,"")</f>
        <v>0</v>
      </c>
      <c r="AX9" s="117" t="n">
        <f aca="false">IFERROR(AX8*AX7,"")</f>
        <v>0</v>
      </c>
      <c r="AY9" s="117" t="n">
        <f aca="false">IFERROR(AY8*AY7,"")</f>
        <v>0</v>
      </c>
      <c r="AZ9" s="117" t="n">
        <f aca="false">IFERROR(AZ8*AZ7,"")</f>
        <v>0</v>
      </c>
      <c r="BA9" s="117" t="n">
        <f aca="false">IFERROR(BA8*BA7,"")</f>
        <v>0</v>
      </c>
      <c r="BB9" s="117" t="n">
        <f aca="false">IFERROR(BB8*BB7,"")</f>
        <v>0</v>
      </c>
      <c r="BC9" s="117" t="n">
        <f aca="false">IFERROR(BC8*BC7,"")</f>
        <v>0</v>
      </c>
      <c r="BD9" s="117" t="n">
        <f aca="false">IFERROR(BD8*BD7,"")</f>
        <v>0</v>
      </c>
      <c r="BE9" s="117" t="n">
        <f aca="false">IFERROR(BE8*BE7,"")</f>
        <v>0</v>
      </c>
      <c r="BF9" s="117" t="n">
        <f aca="false">IFERROR(BF8*BF7,"")</f>
        <v>0</v>
      </c>
      <c r="BG9" s="117" t="n">
        <f aca="false">IFERROR(BG8*BG7,"")</f>
        <v>0</v>
      </c>
      <c r="BH9" s="117" t="n">
        <f aca="false">IFERROR(BH8*BH7,"")</f>
        <v>0</v>
      </c>
      <c r="BI9" s="117" t="n">
        <f aca="false">IFERROR(BI8*BI7,"")</f>
        <v>0</v>
      </c>
      <c r="BJ9" s="117" t="n">
        <f aca="false">IFERROR(BJ8*BJ7,"")</f>
        <v>0</v>
      </c>
    </row>
    <row r="10" customFormat="false" ht="15" hidden="false" customHeight="true" outlineLevel="0" collapsed="false">
      <c r="A10" s="112" t="s">
        <v>299</v>
      </c>
      <c r="B10" s="111" t="str">
        <f aca="false">IFERROR(INDEX('Industry Labels'!$C$7:$Z$7,MATCH(Assumptions!$B$3,'Industry Labels'!$C$4:$Z$4,0)),"units")</f>
        <v>units</v>
      </c>
      <c r="C10" s="117" t="n">
        <f aca="false">IFERROR(C9,"")</f>
        <v>0</v>
      </c>
      <c r="D10" s="117" t="n">
        <f aca="false">IFERROR(D9,"")</f>
        <v>0</v>
      </c>
      <c r="E10" s="117" t="n">
        <f aca="false">IFERROR(E9,"")</f>
        <v>0</v>
      </c>
      <c r="F10" s="117" t="n">
        <f aca="false">IFERROR(F9,"")</f>
        <v>0</v>
      </c>
      <c r="G10" s="117" t="n">
        <f aca="false">IFERROR(G9,"")</f>
        <v>0</v>
      </c>
      <c r="H10" s="117" t="n">
        <f aca="false">IFERROR(H9,"")</f>
        <v>0</v>
      </c>
      <c r="I10" s="117" t="n">
        <f aca="false">IFERROR(I9,"")</f>
        <v>0</v>
      </c>
      <c r="J10" s="117" t="n">
        <f aca="false">IFERROR(J9,"")</f>
        <v>0</v>
      </c>
      <c r="K10" s="117" t="n">
        <f aca="false">IFERROR(K9,"")</f>
        <v>0</v>
      </c>
      <c r="L10" s="117" t="n">
        <f aca="false">IFERROR(L9,"")</f>
        <v>0</v>
      </c>
      <c r="M10" s="117" t="n">
        <f aca="false">IFERROR(M9,"")</f>
        <v>0</v>
      </c>
      <c r="N10" s="117" t="n">
        <f aca="false">IFERROR(N9,"")</f>
        <v>0</v>
      </c>
      <c r="O10" s="117" t="n">
        <f aca="false">IFERROR(O9,"")</f>
        <v>0</v>
      </c>
      <c r="P10" s="117" t="n">
        <f aca="false">IFERROR(P9,"")</f>
        <v>0</v>
      </c>
      <c r="Q10" s="117" t="n">
        <f aca="false">IFERROR(Q9,"")</f>
        <v>0</v>
      </c>
      <c r="R10" s="117" t="n">
        <f aca="false">IFERROR(R9,"")</f>
        <v>0</v>
      </c>
      <c r="S10" s="117" t="n">
        <f aca="false">IFERROR(S9,"")</f>
        <v>0</v>
      </c>
      <c r="T10" s="117" t="n">
        <f aca="false">IFERROR(T9,"")</f>
        <v>0</v>
      </c>
      <c r="U10" s="117" t="n">
        <f aca="false">IFERROR(U9,"")</f>
        <v>0</v>
      </c>
      <c r="V10" s="117" t="n">
        <f aca="false">IFERROR(V9,"")</f>
        <v>0</v>
      </c>
      <c r="W10" s="117" t="n">
        <f aca="false">IFERROR(W9,"")</f>
        <v>0</v>
      </c>
      <c r="X10" s="117" t="n">
        <f aca="false">IFERROR(X9,"")</f>
        <v>0</v>
      </c>
      <c r="Y10" s="117" t="n">
        <f aca="false">IFERROR(Y9,"")</f>
        <v>0</v>
      </c>
      <c r="Z10" s="117" t="n">
        <f aca="false">IFERROR(Z9,"")</f>
        <v>0</v>
      </c>
      <c r="AA10" s="117" t="n">
        <f aca="false">IFERROR(AA9,"")</f>
        <v>0</v>
      </c>
      <c r="AB10" s="117" t="n">
        <f aca="false">IFERROR(AB9,"")</f>
        <v>0</v>
      </c>
      <c r="AC10" s="117" t="n">
        <f aca="false">IFERROR(AC9,"")</f>
        <v>0</v>
      </c>
      <c r="AD10" s="117" t="n">
        <f aca="false">IFERROR(AD9,"")</f>
        <v>0</v>
      </c>
      <c r="AE10" s="117" t="n">
        <f aca="false">IFERROR(AE9,"")</f>
        <v>0</v>
      </c>
      <c r="AF10" s="117" t="n">
        <f aca="false">IFERROR(AF9,"")</f>
        <v>0</v>
      </c>
      <c r="AG10" s="117" t="n">
        <f aca="false">IFERROR(AG9,"")</f>
        <v>0</v>
      </c>
      <c r="AH10" s="117" t="n">
        <f aca="false">IFERROR(AH9,"")</f>
        <v>0</v>
      </c>
      <c r="AI10" s="117" t="n">
        <f aca="false">IFERROR(AI9,"")</f>
        <v>0</v>
      </c>
      <c r="AJ10" s="117" t="n">
        <f aca="false">IFERROR(AJ9,"")</f>
        <v>0</v>
      </c>
      <c r="AK10" s="117" t="n">
        <f aca="false">IFERROR(AK9,"")</f>
        <v>0</v>
      </c>
      <c r="AL10" s="117" t="n">
        <f aca="false">IFERROR(AL9,"")</f>
        <v>0</v>
      </c>
      <c r="AM10" s="117" t="n">
        <f aca="false">IFERROR(AM9,"")</f>
        <v>0</v>
      </c>
      <c r="AN10" s="117" t="n">
        <f aca="false">IFERROR(AN9,"")</f>
        <v>0</v>
      </c>
      <c r="AO10" s="117" t="n">
        <f aca="false">IFERROR(AO9,"")</f>
        <v>0</v>
      </c>
      <c r="AP10" s="117" t="n">
        <f aca="false">IFERROR(AP9,"")</f>
        <v>0</v>
      </c>
      <c r="AQ10" s="117" t="n">
        <f aca="false">IFERROR(AQ9,"")</f>
        <v>0</v>
      </c>
      <c r="AR10" s="117" t="n">
        <f aca="false">IFERROR(AR9,"")</f>
        <v>0</v>
      </c>
      <c r="AS10" s="117" t="n">
        <f aca="false">IFERROR(AS9,"")</f>
        <v>0</v>
      </c>
      <c r="AT10" s="117" t="n">
        <f aca="false">IFERROR(AT9,"")</f>
        <v>0</v>
      </c>
      <c r="AU10" s="117" t="n">
        <f aca="false">IFERROR(AU9,"")</f>
        <v>0</v>
      </c>
      <c r="AV10" s="117" t="n">
        <f aca="false">IFERROR(AV9,"")</f>
        <v>0</v>
      </c>
      <c r="AW10" s="117" t="n">
        <f aca="false">IFERROR(AW9,"")</f>
        <v>0</v>
      </c>
      <c r="AX10" s="117" t="n">
        <f aca="false">IFERROR(AX9,"")</f>
        <v>0</v>
      </c>
      <c r="AY10" s="117" t="n">
        <f aca="false">IFERROR(AY9,"")</f>
        <v>0</v>
      </c>
      <c r="AZ10" s="117" t="n">
        <f aca="false">IFERROR(AZ9,"")</f>
        <v>0</v>
      </c>
      <c r="BA10" s="117" t="n">
        <f aca="false">IFERROR(BA9,"")</f>
        <v>0</v>
      </c>
      <c r="BB10" s="117" t="n">
        <f aca="false">IFERROR(BB9,"")</f>
        <v>0</v>
      </c>
      <c r="BC10" s="117" t="n">
        <f aca="false">IFERROR(BC9,"")</f>
        <v>0</v>
      </c>
      <c r="BD10" s="117" t="n">
        <f aca="false">IFERROR(BD9,"")</f>
        <v>0</v>
      </c>
      <c r="BE10" s="117" t="n">
        <f aca="false">IFERROR(BE9,"")</f>
        <v>0</v>
      </c>
      <c r="BF10" s="117" t="n">
        <f aca="false">IFERROR(BF9,"")</f>
        <v>0</v>
      </c>
      <c r="BG10" s="117" t="n">
        <f aca="false">IFERROR(BG9,"")</f>
        <v>0</v>
      </c>
      <c r="BH10" s="117" t="n">
        <f aca="false">IFERROR(BH9,"")</f>
        <v>0</v>
      </c>
      <c r="BI10" s="117" t="n">
        <f aca="false">IFERROR(BI9,"")</f>
        <v>0</v>
      </c>
      <c r="BJ10" s="117" t="n">
        <f aca="false">IFERROR(BJ9,"")</f>
        <v>0</v>
      </c>
    </row>
    <row r="11" customFormat="false" ht="15" hidden="false" customHeight="true" outlineLevel="0" collapsed="false">
      <c r="A11" s="114" t="s">
        <v>300</v>
      </c>
      <c r="B11" s="111" t="str">
        <f aca="false">"₹/"&amp;IFERROR(INDEX('Industry Labels'!$C$8:$Z$8,MATCH(Assumptions!$B$3,'Industry Labels'!$C$4:$Z$4,0)),"unit")</f>
        <v>₹/unit</v>
      </c>
      <c r="C11" s="118" t="n">
        <f aca="false">IFERROR(Assumptions!$B$10*(1+Assumptions!$B$33)^(C6-1),"")</f>
        <v>0</v>
      </c>
      <c r="D11" s="118" t="n">
        <f aca="false">IFERROR(Assumptions!$B$10*(1+Assumptions!$B$33)^(D6-1),"")</f>
        <v>0</v>
      </c>
      <c r="E11" s="118" t="n">
        <f aca="false">IFERROR(Assumptions!$B$10*(1+Assumptions!$B$33)^(E6-1),"")</f>
        <v>0</v>
      </c>
      <c r="F11" s="118" t="n">
        <f aca="false">IFERROR(Assumptions!$B$10*(1+Assumptions!$B$33)^(F6-1),"")</f>
        <v>0</v>
      </c>
      <c r="G11" s="118" t="n">
        <f aca="false">IFERROR(Assumptions!$B$10*(1+Assumptions!$B$33)^(G6-1),"")</f>
        <v>0</v>
      </c>
      <c r="H11" s="118" t="n">
        <f aca="false">IFERROR(Assumptions!$B$10*(1+Assumptions!$B$33)^(H6-1),"")</f>
        <v>0</v>
      </c>
      <c r="I11" s="118" t="n">
        <f aca="false">IFERROR(Assumptions!$B$10*(1+Assumptions!$B$33)^(I6-1),"")</f>
        <v>0</v>
      </c>
      <c r="J11" s="118" t="n">
        <f aca="false">IFERROR(Assumptions!$B$10*(1+Assumptions!$B$33)^(J6-1),"")</f>
        <v>0</v>
      </c>
      <c r="K11" s="118" t="n">
        <f aca="false">IFERROR(Assumptions!$B$10*(1+Assumptions!$B$33)^(K6-1),"")</f>
        <v>0</v>
      </c>
      <c r="L11" s="118" t="n">
        <f aca="false">IFERROR(Assumptions!$B$10*(1+Assumptions!$B$33)^(L6-1),"")</f>
        <v>0</v>
      </c>
      <c r="M11" s="118" t="n">
        <f aca="false">IFERROR(Assumptions!$B$10*(1+Assumptions!$B$33)^(M6-1),"")</f>
        <v>0</v>
      </c>
      <c r="N11" s="118" t="n">
        <f aca="false">IFERROR(Assumptions!$B$10*(1+Assumptions!$B$33)^(N6-1),"")</f>
        <v>0</v>
      </c>
      <c r="O11" s="118" t="n">
        <f aca="false">IFERROR(Assumptions!$B$10*(1+Assumptions!$B$33)^(O6-1),"")</f>
        <v>0</v>
      </c>
      <c r="P11" s="118" t="n">
        <f aca="false">IFERROR(Assumptions!$B$10*(1+Assumptions!$B$33)^(P6-1),"")</f>
        <v>0</v>
      </c>
      <c r="Q11" s="118" t="n">
        <f aca="false">IFERROR(Assumptions!$B$10*(1+Assumptions!$B$33)^(Q6-1),"")</f>
        <v>0</v>
      </c>
      <c r="R11" s="118" t="n">
        <f aca="false">IFERROR(Assumptions!$B$10*(1+Assumptions!$B$33)^(R6-1),"")</f>
        <v>0</v>
      </c>
      <c r="S11" s="118" t="n">
        <f aca="false">IFERROR(Assumptions!$B$10*(1+Assumptions!$B$33)^(S6-1),"")</f>
        <v>0</v>
      </c>
      <c r="T11" s="118" t="n">
        <f aca="false">IFERROR(Assumptions!$B$10*(1+Assumptions!$B$33)^(T6-1),"")</f>
        <v>0</v>
      </c>
      <c r="U11" s="118" t="n">
        <f aca="false">IFERROR(Assumptions!$B$10*(1+Assumptions!$B$33)^(U6-1),"")</f>
        <v>0</v>
      </c>
      <c r="V11" s="118" t="n">
        <f aca="false">IFERROR(Assumptions!$B$10*(1+Assumptions!$B$33)^(V6-1),"")</f>
        <v>0</v>
      </c>
      <c r="W11" s="118" t="n">
        <f aca="false">IFERROR(Assumptions!$B$10*(1+Assumptions!$B$33)^(W6-1),"")</f>
        <v>0</v>
      </c>
      <c r="X11" s="118" t="n">
        <f aca="false">IFERROR(Assumptions!$B$10*(1+Assumptions!$B$33)^(X6-1),"")</f>
        <v>0</v>
      </c>
      <c r="Y11" s="118" t="n">
        <f aca="false">IFERROR(Assumptions!$B$10*(1+Assumptions!$B$33)^(Y6-1),"")</f>
        <v>0</v>
      </c>
      <c r="Z11" s="118" t="n">
        <f aca="false">IFERROR(Assumptions!$B$10*(1+Assumptions!$B$33)^(Z6-1),"")</f>
        <v>0</v>
      </c>
      <c r="AA11" s="118" t="n">
        <f aca="false">IFERROR(Assumptions!$B$10*(1+Assumptions!$B$33)^(AA6-1),"")</f>
        <v>0</v>
      </c>
      <c r="AB11" s="118" t="n">
        <f aca="false">IFERROR(Assumptions!$B$10*(1+Assumptions!$B$33)^(AB6-1),"")</f>
        <v>0</v>
      </c>
      <c r="AC11" s="118" t="n">
        <f aca="false">IFERROR(Assumptions!$B$10*(1+Assumptions!$B$33)^(AC6-1),"")</f>
        <v>0</v>
      </c>
      <c r="AD11" s="118" t="n">
        <f aca="false">IFERROR(Assumptions!$B$10*(1+Assumptions!$B$33)^(AD6-1),"")</f>
        <v>0</v>
      </c>
      <c r="AE11" s="118" t="n">
        <f aca="false">IFERROR(Assumptions!$B$10*(1+Assumptions!$B$33)^(AE6-1),"")</f>
        <v>0</v>
      </c>
      <c r="AF11" s="118" t="n">
        <f aca="false">IFERROR(Assumptions!$B$10*(1+Assumptions!$B$33)^(AF6-1),"")</f>
        <v>0</v>
      </c>
      <c r="AG11" s="118" t="n">
        <f aca="false">IFERROR(Assumptions!$B$10*(1+Assumptions!$B$33)^(AG6-1),"")</f>
        <v>0</v>
      </c>
      <c r="AH11" s="118" t="n">
        <f aca="false">IFERROR(Assumptions!$B$10*(1+Assumptions!$B$33)^(AH6-1),"")</f>
        <v>0</v>
      </c>
      <c r="AI11" s="118" t="n">
        <f aca="false">IFERROR(Assumptions!$B$10*(1+Assumptions!$B$33)^(AI6-1),"")</f>
        <v>0</v>
      </c>
      <c r="AJ11" s="118" t="n">
        <f aca="false">IFERROR(Assumptions!$B$10*(1+Assumptions!$B$33)^(AJ6-1),"")</f>
        <v>0</v>
      </c>
      <c r="AK11" s="118" t="n">
        <f aca="false">IFERROR(Assumptions!$B$10*(1+Assumptions!$B$33)^(AK6-1),"")</f>
        <v>0</v>
      </c>
      <c r="AL11" s="118" t="n">
        <f aca="false">IFERROR(Assumptions!$B$10*(1+Assumptions!$B$33)^(AL6-1),"")</f>
        <v>0</v>
      </c>
      <c r="AM11" s="118" t="n">
        <f aca="false">IFERROR(Assumptions!$B$10*(1+Assumptions!$B$33)^(AM6-1),"")</f>
        <v>0</v>
      </c>
      <c r="AN11" s="118" t="n">
        <f aca="false">IFERROR(Assumptions!$B$10*(1+Assumptions!$B$33)^(AN6-1),"")</f>
        <v>0</v>
      </c>
      <c r="AO11" s="118" t="n">
        <f aca="false">IFERROR(Assumptions!$B$10*(1+Assumptions!$B$33)^(AO6-1),"")</f>
        <v>0</v>
      </c>
      <c r="AP11" s="118" t="n">
        <f aca="false">IFERROR(Assumptions!$B$10*(1+Assumptions!$B$33)^(AP6-1),"")</f>
        <v>0</v>
      </c>
      <c r="AQ11" s="118" t="n">
        <f aca="false">IFERROR(Assumptions!$B$10*(1+Assumptions!$B$33)^(AQ6-1),"")</f>
        <v>0</v>
      </c>
      <c r="AR11" s="118" t="n">
        <f aca="false">IFERROR(Assumptions!$B$10*(1+Assumptions!$B$33)^(AR6-1),"")</f>
        <v>0</v>
      </c>
      <c r="AS11" s="118" t="n">
        <f aca="false">IFERROR(Assumptions!$B$10*(1+Assumptions!$B$33)^(AS6-1),"")</f>
        <v>0</v>
      </c>
      <c r="AT11" s="118" t="n">
        <f aca="false">IFERROR(Assumptions!$B$10*(1+Assumptions!$B$33)^(AT6-1),"")</f>
        <v>0</v>
      </c>
      <c r="AU11" s="118" t="n">
        <f aca="false">IFERROR(Assumptions!$B$10*(1+Assumptions!$B$33)^(AU6-1),"")</f>
        <v>0</v>
      </c>
      <c r="AV11" s="118" t="n">
        <f aca="false">IFERROR(Assumptions!$B$10*(1+Assumptions!$B$33)^(AV6-1),"")</f>
        <v>0</v>
      </c>
      <c r="AW11" s="118" t="n">
        <f aca="false">IFERROR(Assumptions!$B$10*(1+Assumptions!$B$33)^(AW6-1),"")</f>
        <v>0</v>
      </c>
      <c r="AX11" s="118" t="n">
        <f aca="false">IFERROR(Assumptions!$B$10*(1+Assumptions!$B$33)^(AX6-1),"")</f>
        <v>0</v>
      </c>
      <c r="AY11" s="118" t="n">
        <f aca="false">IFERROR(Assumptions!$B$10*(1+Assumptions!$B$33)^(AY6-1),"")</f>
        <v>0</v>
      </c>
      <c r="AZ11" s="118" t="n">
        <f aca="false">IFERROR(Assumptions!$B$10*(1+Assumptions!$B$33)^(AZ6-1),"")</f>
        <v>0</v>
      </c>
      <c r="BA11" s="118" t="n">
        <f aca="false">IFERROR(Assumptions!$B$10*(1+Assumptions!$B$33)^(BA6-1),"")</f>
        <v>0</v>
      </c>
      <c r="BB11" s="118" t="n">
        <f aca="false">IFERROR(Assumptions!$B$10*(1+Assumptions!$B$33)^(BB6-1),"")</f>
        <v>0</v>
      </c>
      <c r="BC11" s="118" t="n">
        <f aca="false">IFERROR(Assumptions!$B$10*(1+Assumptions!$B$33)^(BC6-1),"")</f>
        <v>0</v>
      </c>
      <c r="BD11" s="118" t="n">
        <f aca="false">IFERROR(Assumptions!$B$10*(1+Assumptions!$B$33)^(BD6-1),"")</f>
        <v>0</v>
      </c>
      <c r="BE11" s="118" t="n">
        <f aca="false">IFERROR(Assumptions!$B$10*(1+Assumptions!$B$33)^(BE6-1),"")</f>
        <v>0</v>
      </c>
      <c r="BF11" s="118" t="n">
        <f aca="false">IFERROR(Assumptions!$B$10*(1+Assumptions!$B$33)^(BF6-1),"")</f>
        <v>0</v>
      </c>
      <c r="BG11" s="118" t="n">
        <f aca="false">IFERROR(Assumptions!$B$10*(1+Assumptions!$B$33)^(BG6-1),"")</f>
        <v>0</v>
      </c>
      <c r="BH11" s="118" t="n">
        <f aca="false">IFERROR(Assumptions!$B$10*(1+Assumptions!$B$33)^(BH6-1),"")</f>
        <v>0</v>
      </c>
      <c r="BI11" s="118" t="n">
        <f aca="false">IFERROR(Assumptions!$B$10*(1+Assumptions!$B$33)^(BI6-1),"")</f>
        <v>0</v>
      </c>
      <c r="BJ11" s="118" t="n">
        <f aca="false">IFERROR(Assumptions!$B$10*(1+Assumptions!$B$33)^(BJ6-1),"")</f>
        <v>0</v>
      </c>
    </row>
    <row r="12" customFormat="false" ht="15" hidden="false" customHeight="true" outlineLevel="0" collapsed="false">
      <c r="A12" s="112" t="s">
        <v>301</v>
      </c>
      <c r="B12" s="111" t="s">
        <v>289</v>
      </c>
      <c r="C12" s="119" t="n">
        <f aca="false">IFERROR(C10*C11/100000,"")</f>
        <v>0</v>
      </c>
      <c r="D12" s="119" t="n">
        <f aca="false">IFERROR(D10*D11/100000,"")</f>
        <v>0</v>
      </c>
      <c r="E12" s="119" t="n">
        <f aca="false">IFERROR(E10*E11/100000,"")</f>
        <v>0</v>
      </c>
      <c r="F12" s="119" t="n">
        <f aca="false">IFERROR(F10*F11/100000,"")</f>
        <v>0</v>
      </c>
      <c r="G12" s="119" t="n">
        <f aca="false">IFERROR(G10*G11/100000,"")</f>
        <v>0</v>
      </c>
      <c r="H12" s="119" t="n">
        <f aca="false">IFERROR(H10*H11/100000,"")</f>
        <v>0</v>
      </c>
      <c r="I12" s="119" t="n">
        <f aca="false">IFERROR(I10*I11/100000,"")</f>
        <v>0</v>
      </c>
      <c r="J12" s="119" t="n">
        <f aca="false">IFERROR(J10*J11/100000,"")</f>
        <v>0</v>
      </c>
      <c r="K12" s="119" t="n">
        <f aca="false">IFERROR(K10*K11/100000,"")</f>
        <v>0</v>
      </c>
      <c r="L12" s="119" t="n">
        <f aca="false">IFERROR(L10*L11/100000,"")</f>
        <v>0</v>
      </c>
      <c r="M12" s="119" t="n">
        <f aca="false">IFERROR(M10*M11/100000,"")</f>
        <v>0</v>
      </c>
      <c r="N12" s="119" t="n">
        <f aca="false">IFERROR(N10*N11/100000,"")</f>
        <v>0</v>
      </c>
      <c r="O12" s="119" t="n">
        <f aca="false">IFERROR(O10*O11/100000,"")</f>
        <v>0</v>
      </c>
      <c r="P12" s="119" t="n">
        <f aca="false">IFERROR(P10*P11/100000,"")</f>
        <v>0</v>
      </c>
      <c r="Q12" s="119" t="n">
        <f aca="false">IFERROR(Q10*Q11/100000,"")</f>
        <v>0</v>
      </c>
      <c r="R12" s="119" t="n">
        <f aca="false">IFERROR(R10*R11/100000,"")</f>
        <v>0</v>
      </c>
      <c r="S12" s="119" t="n">
        <f aca="false">IFERROR(S10*S11/100000,"")</f>
        <v>0</v>
      </c>
      <c r="T12" s="119" t="n">
        <f aca="false">IFERROR(T10*T11/100000,"")</f>
        <v>0</v>
      </c>
      <c r="U12" s="119" t="n">
        <f aca="false">IFERROR(U10*U11/100000,"")</f>
        <v>0</v>
      </c>
      <c r="V12" s="119" t="n">
        <f aca="false">IFERROR(V10*V11/100000,"")</f>
        <v>0</v>
      </c>
      <c r="W12" s="119" t="n">
        <f aca="false">IFERROR(W10*W11/100000,"")</f>
        <v>0</v>
      </c>
      <c r="X12" s="119" t="n">
        <f aca="false">IFERROR(X10*X11/100000,"")</f>
        <v>0</v>
      </c>
      <c r="Y12" s="119" t="n">
        <f aca="false">IFERROR(Y10*Y11/100000,"")</f>
        <v>0</v>
      </c>
      <c r="Z12" s="119" t="n">
        <f aca="false">IFERROR(Z10*Z11/100000,"")</f>
        <v>0</v>
      </c>
      <c r="AA12" s="119" t="n">
        <f aca="false">IFERROR(AA10*AA11/100000,"")</f>
        <v>0</v>
      </c>
      <c r="AB12" s="119" t="n">
        <f aca="false">IFERROR(AB10*AB11/100000,"")</f>
        <v>0</v>
      </c>
      <c r="AC12" s="119" t="n">
        <f aca="false">IFERROR(AC10*AC11/100000,"")</f>
        <v>0</v>
      </c>
      <c r="AD12" s="119" t="n">
        <f aca="false">IFERROR(AD10*AD11/100000,"")</f>
        <v>0</v>
      </c>
      <c r="AE12" s="119" t="n">
        <f aca="false">IFERROR(AE10*AE11/100000,"")</f>
        <v>0</v>
      </c>
      <c r="AF12" s="119" t="n">
        <f aca="false">IFERROR(AF10*AF11/100000,"")</f>
        <v>0</v>
      </c>
      <c r="AG12" s="119" t="n">
        <f aca="false">IFERROR(AG10*AG11/100000,"")</f>
        <v>0</v>
      </c>
      <c r="AH12" s="119" t="n">
        <f aca="false">IFERROR(AH10*AH11/100000,"")</f>
        <v>0</v>
      </c>
      <c r="AI12" s="119" t="n">
        <f aca="false">IFERROR(AI10*AI11/100000,"")</f>
        <v>0</v>
      </c>
      <c r="AJ12" s="119" t="n">
        <f aca="false">IFERROR(AJ10*AJ11/100000,"")</f>
        <v>0</v>
      </c>
      <c r="AK12" s="119" t="n">
        <f aca="false">IFERROR(AK10*AK11/100000,"")</f>
        <v>0</v>
      </c>
      <c r="AL12" s="119" t="n">
        <f aca="false">IFERROR(AL10*AL11/100000,"")</f>
        <v>0</v>
      </c>
      <c r="AM12" s="119" t="n">
        <f aca="false">IFERROR(AM10*AM11/100000,"")</f>
        <v>0</v>
      </c>
      <c r="AN12" s="119" t="n">
        <f aca="false">IFERROR(AN10*AN11/100000,"")</f>
        <v>0</v>
      </c>
      <c r="AO12" s="119" t="n">
        <f aca="false">IFERROR(AO10*AO11/100000,"")</f>
        <v>0</v>
      </c>
      <c r="AP12" s="119" t="n">
        <f aca="false">IFERROR(AP10*AP11/100000,"")</f>
        <v>0</v>
      </c>
      <c r="AQ12" s="119" t="n">
        <f aca="false">IFERROR(AQ10*AQ11/100000,"")</f>
        <v>0</v>
      </c>
      <c r="AR12" s="119" t="n">
        <f aca="false">IFERROR(AR10*AR11/100000,"")</f>
        <v>0</v>
      </c>
      <c r="AS12" s="119" t="n">
        <f aca="false">IFERROR(AS10*AS11/100000,"")</f>
        <v>0</v>
      </c>
      <c r="AT12" s="119" t="n">
        <f aca="false">IFERROR(AT10*AT11/100000,"")</f>
        <v>0</v>
      </c>
      <c r="AU12" s="119" t="n">
        <f aca="false">IFERROR(AU10*AU11/100000,"")</f>
        <v>0</v>
      </c>
      <c r="AV12" s="119" t="n">
        <f aca="false">IFERROR(AV10*AV11/100000,"")</f>
        <v>0</v>
      </c>
      <c r="AW12" s="119" t="n">
        <f aca="false">IFERROR(AW10*AW11/100000,"")</f>
        <v>0</v>
      </c>
      <c r="AX12" s="119" t="n">
        <f aca="false">IFERROR(AX10*AX11/100000,"")</f>
        <v>0</v>
      </c>
      <c r="AY12" s="119" t="n">
        <f aca="false">IFERROR(AY10*AY11/100000,"")</f>
        <v>0</v>
      </c>
      <c r="AZ12" s="119" t="n">
        <f aca="false">IFERROR(AZ10*AZ11/100000,"")</f>
        <v>0</v>
      </c>
      <c r="BA12" s="119" t="n">
        <f aca="false">IFERROR(BA10*BA11/100000,"")</f>
        <v>0</v>
      </c>
      <c r="BB12" s="119" t="n">
        <f aca="false">IFERROR(BB10*BB11/100000,"")</f>
        <v>0</v>
      </c>
      <c r="BC12" s="119" t="n">
        <f aca="false">IFERROR(BC10*BC11/100000,"")</f>
        <v>0</v>
      </c>
      <c r="BD12" s="119" t="n">
        <f aca="false">IFERROR(BD10*BD11/100000,"")</f>
        <v>0</v>
      </c>
      <c r="BE12" s="119" t="n">
        <f aca="false">IFERROR(BE10*BE11/100000,"")</f>
        <v>0</v>
      </c>
      <c r="BF12" s="119" t="n">
        <f aca="false">IFERROR(BF10*BF11/100000,"")</f>
        <v>0</v>
      </c>
      <c r="BG12" s="119" t="n">
        <f aca="false">IFERROR(BG10*BG11/100000,"")</f>
        <v>0</v>
      </c>
      <c r="BH12" s="119" t="n">
        <f aca="false">IFERROR(BH10*BH11/100000,"")</f>
        <v>0</v>
      </c>
      <c r="BI12" s="119" t="n">
        <f aca="false">IFERROR(BI10*BI11/100000,"")</f>
        <v>0</v>
      </c>
      <c r="BJ12" s="119" t="n">
        <f aca="false">IFERROR(BJ10*BJ11/100000,"")</f>
        <v>0</v>
      </c>
    </row>
  </sheetData>
  <mergeCells count="7">
    <mergeCell ref="A1:BJ1"/>
    <mergeCell ref="A2:BJ2"/>
    <mergeCell ref="C3:N3"/>
    <mergeCell ref="O3:Z3"/>
    <mergeCell ref="AA3:AL3"/>
    <mergeCell ref="AM3:AX3"/>
    <mergeCell ref="AY3:B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37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1"/>
    <col collapsed="false" customWidth="true" hidden="false" outlineLevel="0" max="62" min="3" style="1" width="10.57"/>
  </cols>
  <sheetData>
    <row r="1" customFormat="false" ht="21.75" hidden="false" customHeight="true" outlineLevel="0" collapsed="false">
      <c r="A1" s="47" t="s">
        <v>302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</row>
    <row r="2" customFormat="false" ht="15" hidden="false" customHeight="true" outlineLevel="0" collapsed="false">
      <c r="A2" s="26" t="s">
        <v>303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</row>
    <row r="3" customFormat="false" ht="15" hidden="false" customHeight="true" outlineLevel="0" collapsed="false">
      <c r="A3" s="104"/>
      <c r="B3" s="104"/>
      <c r="C3" s="105" t="str">
        <f aca="false">"YEAR 1   •   FY"&amp;(IF(ISNUMBER(Assumptions!$B$6),Assumptions!$B$6,2026)+0)&amp;"-"&amp;RIGHT((IF(ISNUMBER(Assumptions!$B$6),Assumptions!$B$6,2026)+0+1),2)</f>
        <v>YEAR 1   •   FY2026-27</v>
      </c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6" t="str">
        <f aca="false">"YEAR 2   •   FY"&amp;(IF(ISNUMBER(Assumptions!$B$6),Assumptions!$B$6,2026)+1)&amp;"-"&amp;RIGHT((IF(ISNUMBER(Assumptions!$B$6),Assumptions!$B$6,2026)+1+1),2)</f>
        <v>YEAR 2   •   FY2027-28</v>
      </c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  <c r="AA3" s="105" t="str">
        <f aca="false">"YEAR 3   •   FY"&amp;(IF(ISNUMBER(Assumptions!$B$6),Assumptions!$B$6,2026)+2)&amp;"-"&amp;RIGHT((IF(ISNUMBER(Assumptions!$B$6),Assumptions!$B$6,2026)+2+1),2)</f>
        <v>YEAR 3   •   FY2028-29</v>
      </c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5"/>
      <c r="AM3" s="106" t="str">
        <f aca="false">"YEAR 4   •   FY"&amp;(IF(ISNUMBER(Assumptions!$B$6),Assumptions!$B$6,2026)+3)&amp;"-"&amp;RIGHT((IF(ISNUMBER(Assumptions!$B$6),Assumptions!$B$6,2026)+3+1),2)</f>
        <v>YEAR 4   •   FY2029-30</v>
      </c>
      <c r="AN3" s="106"/>
      <c r="AO3" s="106"/>
      <c r="AP3" s="106"/>
      <c r="AQ3" s="106"/>
      <c r="AR3" s="106"/>
      <c r="AS3" s="106"/>
      <c r="AT3" s="106"/>
      <c r="AU3" s="106"/>
      <c r="AV3" s="106"/>
      <c r="AW3" s="106"/>
      <c r="AX3" s="106"/>
      <c r="AY3" s="105" t="str">
        <f aca="false">"YEAR 5   •   FY"&amp;(IF(ISNUMBER(Assumptions!$B$6),Assumptions!$B$6,2026)+4)&amp;"-"&amp;RIGHT((IF(ISNUMBER(Assumptions!$B$6),Assumptions!$B$6,2026)+4+1),2)</f>
        <v>YEAR 5   •   FY2030-31</v>
      </c>
      <c r="AZ3" s="105"/>
      <c r="BA3" s="105"/>
      <c r="BB3" s="105"/>
      <c r="BC3" s="105"/>
      <c r="BD3" s="105"/>
      <c r="BE3" s="105"/>
      <c r="BF3" s="105"/>
      <c r="BG3" s="105"/>
      <c r="BH3" s="105"/>
      <c r="BI3" s="105"/>
      <c r="BJ3" s="105"/>
    </row>
    <row r="4" customFormat="false" ht="15" hidden="false" customHeight="true" outlineLevel="0" collapsed="false">
      <c r="A4" s="107" t="s">
        <v>284</v>
      </c>
      <c r="B4" s="108" t="s">
        <v>285</v>
      </c>
      <c r="C4" s="109" t="n">
        <f aca="false">DATE(IF(ISNUMBER(Assumptions!$B$6),Assumptions!$B$6,2026),4+0,1)</f>
        <v>46113</v>
      </c>
      <c r="D4" s="109" t="n">
        <f aca="false">DATE(IF(ISNUMBER(Assumptions!$B$6),Assumptions!$B$6,2026),4+1,1)</f>
        <v>46143</v>
      </c>
      <c r="E4" s="109" t="n">
        <f aca="false">DATE(IF(ISNUMBER(Assumptions!$B$6),Assumptions!$B$6,2026),4+2,1)</f>
        <v>46174</v>
      </c>
      <c r="F4" s="109" t="n">
        <f aca="false">DATE(IF(ISNUMBER(Assumptions!$B$6),Assumptions!$B$6,2026),4+3,1)</f>
        <v>46204</v>
      </c>
      <c r="G4" s="109" t="n">
        <f aca="false">DATE(IF(ISNUMBER(Assumptions!$B$6),Assumptions!$B$6,2026),4+4,1)</f>
        <v>46235</v>
      </c>
      <c r="H4" s="109" t="n">
        <f aca="false">DATE(IF(ISNUMBER(Assumptions!$B$6),Assumptions!$B$6,2026),4+5,1)</f>
        <v>46266</v>
      </c>
      <c r="I4" s="109" t="n">
        <f aca="false">DATE(IF(ISNUMBER(Assumptions!$B$6),Assumptions!$B$6,2026),4+6,1)</f>
        <v>46296</v>
      </c>
      <c r="J4" s="109" t="n">
        <f aca="false">DATE(IF(ISNUMBER(Assumptions!$B$6),Assumptions!$B$6,2026),4+7,1)</f>
        <v>46327</v>
      </c>
      <c r="K4" s="109" t="n">
        <f aca="false">DATE(IF(ISNUMBER(Assumptions!$B$6),Assumptions!$B$6,2026),4+8,1)</f>
        <v>46357</v>
      </c>
      <c r="L4" s="109" t="n">
        <f aca="false">DATE(IF(ISNUMBER(Assumptions!$B$6),Assumptions!$B$6,2026),4+9,1)</f>
        <v>46388</v>
      </c>
      <c r="M4" s="109" t="n">
        <f aca="false">DATE(IF(ISNUMBER(Assumptions!$B$6),Assumptions!$B$6,2026),4+10,1)</f>
        <v>46419</v>
      </c>
      <c r="N4" s="109" t="n">
        <f aca="false">DATE(IF(ISNUMBER(Assumptions!$B$6),Assumptions!$B$6,2026),4+11,1)</f>
        <v>46447</v>
      </c>
      <c r="O4" s="109" t="n">
        <f aca="false">DATE(IF(ISNUMBER(Assumptions!$B$6),Assumptions!$B$6,2026),4+12,1)</f>
        <v>46478</v>
      </c>
      <c r="P4" s="109" t="n">
        <f aca="false">DATE(IF(ISNUMBER(Assumptions!$B$6),Assumptions!$B$6,2026),4+13,1)</f>
        <v>46508</v>
      </c>
      <c r="Q4" s="109" t="n">
        <f aca="false">DATE(IF(ISNUMBER(Assumptions!$B$6),Assumptions!$B$6,2026),4+14,1)</f>
        <v>46539</v>
      </c>
      <c r="R4" s="109" t="n">
        <f aca="false">DATE(IF(ISNUMBER(Assumptions!$B$6),Assumptions!$B$6,2026),4+15,1)</f>
        <v>46569</v>
      </c>
      <c r="S4" s="109" t="n">
        <f aca="false">DATE(IF(ISNUMBER(Assumptions!$B$6),Assumptions!$B$6,2026),4+16,1)</f>
        <v>46600</v>
      </c>
      <c r="T4" s="109" t="n">
        <f aca="false">DATE(IF(ISNUMBER(Assumptions!$B$6),Assumptions!$B$6,2026),4+17,1)</f>
        <v>46631</v>
      </c>
      <c r="U4" s="109" t="n">
        <f aca="false">DATE(IF(ISNUMBER(Assumptions!$B$6),Assumptions!$B$6,2026),4+18,1)</f>
        <v>46661</v>
      </c>
      <c r="V4" s="109" t="n">
        <f aca="false">DATE(IF(ISNUMBER(Assumptions!$B$6),Assumptions!$B$6,2026),4+19,1)</f>
        <v>46692</v>
      </c>
      <c r="W4" s="109" t="n">
        <f aca="false">DATE(IF(ISNUMBER(Assumptions!$B$6),Assumptions!$B$6,2026),4+20,1)</f>
        <v>46722</v>
      </c>
      <c r="X4" s="109" t="n">
        <f aca="false">DATE(IF(ISNUMBER(Assumptions!$B$6),Assumptions!$B$6,2026),4+21,1)</f>
        <v>46753</v>
      </c>
      <c r="Y4" s="109" t="n">
        <f aca="false">DATE(IF(ISNUMBER(Assumptions!$B$6),Assumptions!$B$6,2026),4+22,1)</f>
        <v>46784</v>
      </c>
      <c r="Z4" s="109" t="n">
        <f aca="false">DATE(IF(ISNUMBER(Assumptions!$B$6),Assumptions!$B$6,2026),4+23,1)</f>
        <v>46813</v>
      </c>
      <c r="AA4" s="109" t="n">
        <f aca="false">DATE(IF(ISNUMBER(Assumptions!$B$6),Assumptions!$B$6,2026),4+24,1)</f>
        <v>46844</v>
      </c>
      <c r="AB4" s="109" t="n">
        <f aca="false">DATE(IF(ISNUMBER(Assumptions!$B$6),Assumptions!$B$6,2026),4+25,1)</f>
        <v>46874</v>
      </c>
      <c r="AC4" s="109" t="n">
        <f aca="false">DATE(IF(ISNUMBER(Assumptions!$B$6),Assumptions!$B$6,2026),4+26,1)</f>
        <v>46905</v>
      </c>
      <c r="AD4" s="109" t="n">
        <f aca="false">DATE(IF(ISNUMBER(Assumptions!$B$6),Assumptions!$B$6,2026),4+27,1)</f>
        <v>46935</v>
      </c>
      <c r="AE4" s="109" t="n">
        <f aca="false">DATE(IF(ISNUMBER(Assumptions!$B$6),Assumptions!$B$6,2026),4+28,1)</f>
        <v>46966</v>
      </c>
      <c r="AF4" s="109" t="n">
        <f aca="false">DATE(IF(ISNUMBER(Assumptions!$B$6),Assumptions!$B$6,2026),4+29,1)</f>
        <v>46997</v>
      </c>
      <c r="AG4" s="109" t="n">
        <f aca="false">DATE(IF(ISNUMBER(Assumptions!$B$6),Assumptions!$B$6,2026),4+30,1)</f>
        <v>47027</v>
      </c>
      <c r="AH4" s="109" t="n">
        <f aca="false">DATE(IF(ISNUMBER(Assumptions!$B$6),Assumptions!$B$6,2026),4+31,1)</f>
        <v>47058</v>
      </c>
      <c r="AI4" s="109" t="n">
        <f aca="false">DATE(IF(ISNUMBER(Assumptions!$B$6),Assumptions!$B$6,2026),4+32,1)</f>
        <v>47088</v>
      </c>
      <c r="AJ4" s="109" t="n">
        <f aca="false">DATE(IF(ISNUMBER(Assumptions!$B$6),Assumptions!$B$6,2026),4+33,1)</f>
        <v>47119</v>
      </c>
      <c r="AK4" s="109" t="n">
        <f aca="false">DATE(IF(ISNUMBER(Assumptions!$B$6),Assumptions!$B$6,2026),4+34,1)</f>
        <v>47150</v>
      </c>
      <c r="AL4" s="109" t="n">
        <f aca="false">DATE(IF(ISNUMBER(Assumptions!$B$6),Assumptions!$B$6,2026),4+35,1)</f>
        <v>47178</v>
      </c>
      <c r="AM4" s="109" t="n">
        <f aca="false">DATE(IF(ISNUMBER(Assumptions!$B$6),Assumptions!$B$6,2026),4+36,1)</f>
        <v>47209</v>
      </c>
      <c r="AN4" s="109" t="n">
        <f aca="false">DATE(IF(ISNUMBER(Assumptions!$B$6),Assumptions!$B$6,2026),4+37,1)</f>
        <v>47239</v>
      </c>
      <c r="AO4" s="109" t="n">
        <f aca="false">DATE(IF(ISNUMBER(Assumptions!$B$6),Assumptions!$B$6,2026),4+38,1)</f>
        <v>47270</v>
      </c>
      <c r="AP4" s="109" t="n">
        <f aca="false">DATE(IF(ISNUMBER(Assumptions!$B$6),Assumptions!$B$6,2026),4+39,1)</f>
        <v>47300</v>
      </c>
      <c r="AQ4" s="109" t="n">
        <f aca="false">DATE(IF(ISNUMBER(Assumptions!$B$6),Assumptions!$B$6,2026),4+40,1)</f>
        <v>47331</v>
      </c>
      <c r="AR4" s="109" t="n">
        <f aca="false">DATE(IF(ISNUMBER(Assumptions!$B$6),Assumptions!$B$6,2026),4+41,1)</f>
        <v>47362</v>
      </c>
      <c r="AS4" s="109" t="n">
        <f aca="false">DATE(IF(ISNUMBER(Assumptions!$B$6),Assumptions!$B$6,2026),4+42,1)</f>
        <v>47392</v>
      </c>
      <c r="AT4" s="109" t="n">
        <f aca="false">DATE(IF(ISNUMBER(Assumptions!$B$6),Assumptions!$B$6,2026),4+43,1)</f>
        <v>47423</v>
      </c>
      <c r="AU4" s="109" t="n">
        <f aca="false">DATE(IF(ISNUMBER(Assumptions!$B$6),Assumptions!$B$6,2026),4+44,1)</f>
        <v>47453</v>
      </c>
      <c r="AV4" s="109" t="n">
        <f aca="false">DATE(IF(ISNUMBER(Assumptions!$B$6),Assumptions!$B$6,2026),4+45,1)</f>
        <v>47484</v>
      </c>
      <c r="AW4" s="109" t="n">
        <f aca="false">DATE(IF(ISNUMBER(Assumptions!$B$6),Assumptions!$B$6,2026),4+46,1)</f>
        <v>47515</v>
      </c>
      <c r="AX4" s="109" t="n">
        <f aca="false">DATE(IF(ISNUMBER(Assumptions!$B$6),Assumptions!$B$6,2026),4+47,1)</f>
        <v>47543</v>
      </c>
      <c r="AY4" s="109" t="n">
        <f aca="false">DATE(IF(ISNUMBER(Assumptions!$B$6),Assumptions!$B$6,2026),4+48,1)</f>
        <v>47574</v>
      </c>
      <c r="AZ4" s="109" t="n">
        <f aca="false">DATE(IF(ISNUMBER(Assumptions!$B$6),Assumptions!$B$6,2026),4+49,1)</f>
        <v>47604</v>
      </c>
      <c r="BA4" s="109" t="n">
        <f aca="false">DATE(IF(ISNUMBER(Assumptions!$B$6),Assumptions!$B$6,2026),4+50,1)</f>
        <v>47635</v>
      </c>
      <c r="BB4" s="109" t="n">
        <f aca="false">DATE(IF(ISNUMBER(Assumptions!$B$6),Assumptions!$B$6,2026),4+51,1)</f>
        <v>47665</v>
      </c>
      <c r="BC4" s="109" t="n">
        <f aca="false">DATE(IF(ISNUMBER(Assumptions!$B$6),Assumptions!$B$6,2026),4+52,1)</f>
        <v>47696</v>
      </c>
      <c r="BD4" s="109" t="n">
        <f aca="false">DATE(IF(ISNUMBER(Assumptions!$B$6),Assumptions!$B$6,2026),4+53,1)</f>
        <v>47727</v>
      </c>
      <c r="BE4" s="109" t="n">
        <f aca="false">DATE(IF(ISNUMBER(Assumptions!$B$6),Assumptions!$B$6,2026),4+54,1)</f>
        <v>47757</v>
      </c>
      <c r="BF4" s="109" t="n">
        <f aca="false">DATE(IF(ISNUMBER(Assumptions!$B$6),Assumptions!$B$6,2026),4+55,1)</f>
        <v>47788</v>
      </c>
      <c r="BG4" s="109" t="n">
        <f aca="false">DATE(IF(ISNUMBER(Assumptions!$B$6),Assumptions!$B$6,2026),4+56,1)</f>
        <v>47818</v>
      </c>
      <c r="BH4" s="109" t="n">
        <f aca="false">DATE(IF(ISNUMBER(Assumptions!$B$6),Assumptions!$B$6,2026),4+57,1)</f>
        <v>47849</v>
      </c>
      <c r="BI4" s="109" t="n">
        <f aca="false">DATE(IF(ISNUMBER(Assumptions!$B$6),Assumptions!$B$6,2026),4+58,1)</f>
        <v>47880</v>
      </c>
      <c r="BJ4" s="109" t="n">
        <f aca="false">DATE(IF(ISNUMBER(Assumptions!$B$6),Assumptions!$B$6,2026),4+59,1)</f>
        <v>47908</v>
      </c>
    </row>
    <row r="5" customFormat="false" ht="15" hidden="false" customHeight="true" outlineLevel="0" collapsed="false">
      <c r="A5" s="110" t="s">
        <v>286</v>
      </c>
      <c r="C5" s="111" t="n">
        <v>1</v>
      </c>
      <c r="D5" s="111" t="n">
        <v>2</v>
      </c>
      <c r="E5" s="111" t="n">
        <v>3</v>
      </c>
      <c r="F5" s="111" t="n">
        <v>4</v>
      </c>
      <c r="G5" s="111" t="n">
        <v>5</v>
      </c>
      <c r="H5" s="111" t="n">
        <v>6</v>
      </c>
      <c r="I5" s="111" t="n">
        <v>7</v>
      </c>
      <c r="J5" s="111" t="n">
        <v>8</v>
      </c>
      <c r="K5" s="111" t="n">
        <v>9</v>
      </c>
      <c r="L5" s="111" t="n">
        <v>10</v>
      </c>
      <c r="M5" s="111" t="n">
        <v>11</v>
      </c>
      <c r="N5" s="111" t="n">
        <v>12</v>
      </c>
      <c r="O5" s="111" t="n">
        <v>13</v>
      </c>
      <c r="P5" s="111" t="n">
        <v>14</v>
      </c>
      <c r="Q5" s="111" t="n">
        <v>15</v>
      </c>
      <c r="R5" s="111" t="n">
        <v>16</v>
      </c>
      <c r="S5" s="111" t="n">
        <v>17</v>
      </c>
      <c r="T5" s="111" t="n">
        <v>18</v>
      </c>
      <c r="U5" s="111" t="n">
        <v>19</v>
      </c>
      <c r="V5" s="111" t="n">
        <v>20</v>
      </c>
      <c r="W5" s="111" t="n">
        <v>21</v>
      </c>
      <c r="X5" s="111" t="n">
        <v>22</v>
      </c>
      <c r="Y5" s="111" t="n">
        <v>23</v>
      </c>
      <c r="Z5" s="111" t="n">
        <v>24</v>
      </c>
      <c r="AA5" s="111" t="n">
        <v>25</v>
      </c>
      <c r="AB5" s="111" t="n">
        <v>26</v>
      </c>
      <c r="AC5" s="111" t="n">
        <v>27</v>
      </c>
      <c r="AD5" s="111" t="n">
        <v>28</v>
      </c>
      <c r="AE5" s="111" t="n">
        <v>29</v>
      </c>
      <c r="AF5" s="111" t="n">
        <v>30</v>
      </c>
      <c r="AG5" s="111" t="n">
        <v>31</v>
      </c>
      <c r="AH5" s="111" t="n">
        <v>32</v>
      </c>
      <c r="AI5" s="111" t="n">
        <v>33</v>
      </c>
      <c r="AJ5" s="111" t="n">
        <v>34</v>
      </c>
      <c r="AK5" s="111" t="n">
        <v>35</v>
      </c>
      <c r="AL5" s="111" t="n">
        <v>36</v>
      </c>
      <c r="AM5" s="111" t="n">
        <v>37</v>
      </c>
      <c r="AN5" s="111" t="n">
        <v>38</v>
      </c>
      <c r="AO5" s="111" t="n">
        <v>39</v>
      </c>
      <c r="AP5" s="111" t="n">
        <v>40</v>
      </c>
      <c r="AQ5" s="111" t="n">
        <v>41</v>
      </c>
      <c r="AR5" s="111" t="n">
        <v>42</v>
      </c>
      <c r="AS5" s="111" t="n">
        <v>43</v>
      </c>
      <c r="AT5" s="111" t="n">
        <v>44</v>
      </c>
      <c r="AU5" s="111" t="n">
        <v>45</v>
      </c>
      <c r="AV5" s="111" t="n">
        <v>46</v>
      </c>
      <c r="AW5" s="111" t="n">
        <v>47</v>
      </c>
      <c r="AX5" s="111" t="n">
        <v>48</v>
      </c>
      <c r="AY5" s="111" t="n">
        <v>49</v>
      </c>
      <c r="AZ5" s="111" t="n">
        <v>50</v>
      </c>
      <c r="BA5" s="111" t="n">
        <v>51</v>
      </c>
      <c r="BB5" s="111" t="n">
        <v>52</v>
      </c>
      <c r="BC5" s="111" t="n">
        <v>53</v>
      </c>
      <c r="BD5" s="111" t="n">
        <v>54</v>
      </c>
      <c r="BE5" s="111" t="n">
        <v>55</v>
      </c>
      <c r="BF5" s="111" t="n">
        <v>56</v>
      </c>
      <c r="BG5" s="111" t="n">
        <v>57</v>
      </c>
      <c r="BH5" s="111" t="n">
        <v>58</v>
      </c>
      <c r="BI5" s="111" t="n">
        <v>59</v>
      </c>
      <c r="BJ5" s="111" t="n">
        <v>60</v>
      </c>
    </row>
    <row r="6" customFormat="false" ht="15" hidden="false" customHeight="true" outlineLevel="0" collapsed="false">
      <c r="A6" s="110" t="s">
        <v>287</v>
      </c>
      <c r="C6" s="111" t="n">
        <v>1</v>
      </c>
      <c r="D6" s="111" t="n">
        <v>1</v>
      </c>
      <c r="E6" s="111" t="n">
        <v>1</v>
      </c>
      <c r="F6" s="111" t="n">
        <v>1</v>
      </c>
      <c r="G6" s="111" t="n">
        <v>1</v>
      </c>
      <c r="H6" s="111" t="n">
        <v>1</v>
      </c>
      <c r="I6" s="111" t="n">
        <v>1</v>
      </c>
      <c r="J6" s="111" t="n">
        <v>1</v>
      </c>
      <c r="K6" s="111" t="n">
        <v>1</v>
      </c>
      <c r="L6" s="111" t="n">
        <v>1</v>
      </c>
      <c r="M6" s="111" t="n">
        <v>1</v>
      </c>
      <c r="N6" s="111" t="n">
        <v>1</v>
      </c>
      <c r="O6" s="111" t="n">
        <v>2</v>
      </c>
      <c r="P6" s="111" t="n">
        <v>2</v>
      </c>
      <c r="Q6" s="111" t="n">
        <v>2</v>
      </c>
      <c r="R6" s="111" t="n">
        <v>2</v>
      </c>
      <c r="S6" s="111" t="n">
        <v>2</v>
      </c>
      <c r="T6" s="111" t="n">
        <v>2</v>
      </c>
      <c r="U6" s="111" t="n">
        <v>2</v>
      </c>
      <c r="V6" s="111" t="n">
        <v>2</v>
      </c>
      <c r="W6" s="111" t="n">
        <v>2</v>
      </c>
      <c r="X6" s="111" t="n">
        <v>2</v>
      </c>
      <c r="Y6" s="111" t="n">
        <v>2</v>
      </c>
      <c r="Z6" s="111" t="n">
        <v>2</v>
      </c>
      <c r="AA6" s="111" t="n">
        <v>3</v>
      </c>
      <c r="AB6" s="111" t="n">
        <v>3</v>
      </c>
      <c r="AC6" s="111" t="n">
        <v>3</v>
      </c>
      <c r="AD6" s="111" t="n">
        <v>3</v>
      </c>
      <c r="AE6" s="111" t="n">
        <v>3</v>
      </c>
      <c r="AF6" s="111" t="n">
        <v>3</v>
      </c>
      <c r="AG6" s="111" t="n">
        <v>3</v>
      </c>
      <c r="AH6" s="111" t="n">
        <v>3</v>
      </c>
      <c r="AI6" s="111" t="n">
        <v>3</v>
      </c>
      <c r="AJ6" s="111" t="n">
        <v>3</v>
      </c>
      <c r="AK6" s="111" t="n">
        <v>3</v>
      </c>
      <c r="AL6" s="111" t="n">
        <v>3</v>
      </c>
      <c r="AM6" s="111" t="n">
        <v>4</v>
      </c>
      <c r="AN6" s="111" t="n">
        <v>4</v>
      </c>
      <c r="AO6" s="111" t="n">
        <v>4</v>
      </c>
      <c r="AP6" s="111" t="n">
        <v>4</v>
      </c>
      <c r="AQ6" s="111" t="n">
        <v>4</v>
      </c>
      <c r="AR6" s="111" t="n">
        <v>4</v>
      </c>
      <c r="AS6" s="111" t="n">
        <v>4</v>
      </c>
      <c r="AT6" s="111" t="n">
        <v>4</v>
      </c>
      <c r="AU6" s="111" t="n">
        <v>4</v>
      </c>
      <c r="AV6" s="111" t="n">
        <v>4</v>
      </c>
      <c r="AW6" s="111" t="n">
        <v>4</v>
      </c>
      <c r="AX6" s="111" t="n">
        <v>4</v>
      </c>
      <c r="AY6" s="111" t="n">
        <v>5</v>
      </c>
      <c r="AZ6" s="111" t="n">
        <v>5</v>
      </c>
      <c r="BA6" s="111" t="n">
        <v>5</v>
      </c>
      <c r="BB6" s="111" t="n">
        <v>5</v>
      </c>
      <c r="BC6" s="111" t="n">
        <v>5</v>
      </c>
      <c r="BD6" s="111" t="n">
        <v>5</v>
      </c>
      <c r="BE6" s="111" t="n">
        <v>5</v>
      </c>
      <c r="BF6" s="111" t="n">
        <v>5</v>
      </c>
      <c r="BG6" s="111" t="n">
        <v>5</v>
      </c>
      <c r="BH6" s="111" t="n">
        <v>5</v>
      </c>
      <c r="BI6" s="111" t="n">
        <v>5</v>
      </c>
      <c r="BJ6" s="111" t="n">
        <v>5</v>
      </c>
    </row>
    <row r="7" customFormat="false" ht="15" hidden="false" customHeight="true" outlineLevel="0" collapsed="false">
      <c r="A7" s="120" t="s">
        <v>304</v>
      </c>
      <c r="B7" s="121"/>
      <c r="C7" s="121"/>
      <c r="D7" s="121"/>
      <c r="E7" s="121"/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21"/>
      <c r="BJ7" s="121"/>
    </row>
    <row r="8" customFormat="false" ht="15" hidden="false" customHeight="true" outlineLevel="0" collapsed="false">
      <c r="A8" s="112" t="s">
        <v>305</v>
      </c>
      <c r="B8" s="111" t="s">
        <v>289</v>
      </c>
      <c r="C8" s="119" t="n">
        <f aca="false">IFERROR('Production &amp; Sales'!C12,"")</f>
        <v>0</v>
      </c>
      <c r="D8" s="119" t="n">
        <f aca="false">IFERROR('Production &amp; Sales'!D12,"")</f>
        <v>0</v>
      </c>
      <c r="E8" s="119" t="n">
        <f aca="false">IFERROR('Production &amp; Sales'!E12,"")</f>
        <v>0</v>
      </c>
      <c r="F8" s="119" t="n">
        <f aca="false">IFERROR('Production &amp; Sales'!F12,"")</f>
        <v>0</v>
      </c>
      <c r="G8" s="119" t="n">
        <f aca="false">IFERROR('Production &amp; Sales'!G12,"")</f>
        <v>0</v>
      </c>
      <c r="H8" s="119" t="n">
        <f aca="false">IFERROR('Production &amp; Sales'!H12,"")</f>
        <v>0</v>
      </c>
      <c r="I8" s="119" t="n">
        <f aca="false">IFERROR('Production &amp; Sales'!I12,"")</f>
        <v>0</v>
      </c>
      <c r="J8" s="119" t="n">
        <f aca="false">IFERROR('Production &amp; Sales'!J12,"")</f>
        <v>0</v>
      </c>
      <c r="K8" s="119" t="n">
        <f aca="false">IFERROR('Production &amp; Sales'!K12,"")</f>
        <v>0</v>
      </c>
      <c r="L8" s="119" t="n">
        <f aca="false">IFERROR('Production &amp; Sales'!L12,"")</f>
        <v>0</v>
      </c>
      <c r="M8" s="119" t="n">
        <f aca="false">IFERROR('Production &amp; Sales'!M12,"")</f>
        <v>0</v>
      </c>
      <c r="N8" s="119" t="n">
        <f aca="false">IFERROR('Production &amp; Sales'!N12,"")</f>
        <v>0</v>
      </c>
      <c r="O8" s="119" t="n">
        <f aca="false">IFERROR('Production &amp; Sales'!O12,"")</f>
        <v>0</v>
      </c>
      <c r="P8" s="119" t="n">
        <f aca="false">IFERROR('Production &amp; Sales'!P12,"")</f>
        <v>0</v>
      </c>
      <c r="Q8" s="119" t="n">
        <f aca="false">IFERROR('Production &amp; Sales'!Q12,"")</f>
        <v>0</v>
      </c>
      <c r="R8" s="119" t="n">
        <f aca="false">IFERROR('Production &amp; Sales'!R12,"")</f>
        <v>0</v>
      </c>
      <c r="S8" s="119" t="n">
        <f aca="false">IFERROR('Production &amp; Sales'!S12,"")</f>
        <v>0</v>
      </c>
      <c r="T8" s="119" t="n">
        <f aca="false">IFERROR('Production &amp; Sales'!T12,"")</f>
        <v>0</v>
      </c>
      <c r="U8" s="119" t="n">
        <f aca="false">IFERROR('Production &amp; Sales'!U12,"")</f>
        <v>0</v>
      </c>
      <c r="V8" s="119" t="n">
        <f aca="false">IFERROR('Production &amp; Sales'!V12,"")</f>
        <v>0</v>
      </c>
      <c r="W8" s="119" t="n">
        <f aca="false">IFERROR('Production &amp; Sales'!W12,"")</f>
        <v>0</v>
      </c>
      <c r="X8" s="119" t="n">
        <f aca="false">IFERROR('Production &amp; Sales'!X12,"")</f>
        <v>0</v>
      </c>
      <c r="Y8" s="119" t="n">
        <f aca="false">IFERROR('Production &amp; Sales'!Y12,"")</f>
        <v>0</v>
      </c>
      <c r="Z8" s="119" t="n">
        <f aca="false">IFERROR('Production &amp; Sales'!Z12,"")</f>
        <v>0</v>
      </c>
      <c r="AA8" s="119" t="n">
        <f aca="false">IFERROR('Production &amp; Sales'!AA12,"")</f>
        <v>0</v>
      </c>
      <c r="AB8" s="119" t="n">
        <f aca="false">IFERROR('Production &amp; Sales'!AB12,"")</f>
        <v>0</v>
      </c>
      <c r="AC8" s="119" t="n">
        <f aca="false">IFERROR('Production &amp; Sales'!AC12,"")</f>
        <v>0</v>
      </c>
      <c r="AD8" s="119" t="n">
        <f aca="false">IFERROR('Production &amp; Sales'!AD12,"")</f>
        <v>0</v>
      </c>
      <c r="AE8" s="119" t="n">
        <f aca="false">IFERROR('Production &amp; Sales'!AE12,"")</f>
        <v>0</v>
      </c>
      <c r="AF8" s="119" t="n">
        <f aca="false">IFERROR('Production &amp; Sales'!AF12,"")</f>
        <v>0</v>
      </c>
      <c r="AG8" s="119" t="n">
        <f aca="false">IFERROR('Production &amp; Sales'!AG12,"")</f>
        <v>0</v>
      </c>
      <c r="AH8" s="119" t="n">
        <f aca="false">IFERROR('Production &amp; Sales'!AH12,"")</f>
        <v>0</v>
      </c>
      <c r="AI8" s="119" t="n">
        <f aca="false">IFERROR('Production &amp; Sales'!AI12,"")</f>
        <v>0</v>
      </c>
      <c r="AJ8" s="119" t="n">
        <f aca="false">IFERROR('Production &amp; Sales'!AJ12,"")</f>
        <v>0</v>
      </c>
      <c r="AK8" s="119" t="n">
        <f aca="false">IFERROR('Production &amp; Sales'!AK12,"")</f>
        <v>0</v>
      </c>
      <c r="AL8" s="119" t="n">
        <f aca="false">IFERROR('Production &amp; Sales'!AL12,"")</f>
        <v>0</v>
      </c>
      <c r="AM8" s="119" t="n">
        <f aca="false">IFERROR('Production &amp; Sales'!AM12,"")</f>
        <v>0</v>
      </c>
      <c r="AN8" s="119" t="n">
        <f aca="false">IFERROR('Production &amp; Sales'!AN12,"")</f>
        <v>0</v>
      </c>
      <c r="AO8" s="119" t="n">
        <f aca="false">IFERROR('Production &amp; Sales'!AO12,"")</f>
        <v>0</v>
      </c>
      <c r="AP8" s="119" t="n">
        <f aca="false">IFERROR('Production &amp; Sales'!AP12,"")</f>
        <v>0</v>
      </c>
      <c r="AQ8" s="119" t="n">
        <f aca="false">IFERROR('Production &amp; Sales'!AQ12,"")</f>
        <v>0</v>
      </c>
      <c r="AR8" s="119" t="n">
        <f aca="false">IFERROR('Production &amp; Sales'!AR12,"")</f>
        <v>0</v>
      </c>
      <c r="AS8" s="119" t="n">
        <f aca="false">IFERROR('Production &amp; Sales'!AS12,"")</f>
        <v>0</v>
      </c>
      <c r="AT8" s="119" t="n">
        <f aca="false">IFERROR('Production &amp; Sales'!AT12,"")</f>
        <v>0</v>
      </c>
      <c r="AU8" s="119" t="n">
        <f aca="false">IFERROR('Production &amp; Sales'!AU12,"")</f>
        <v>0</v>
      </c>
      <c r="AV8" s="119" t="n">
        <f aca="false">IFERROR('Production &amp; Sales'!AV12,"")</f>
        <v>0</v>
      </c>
      <c r="AW8" s="119" t="n">
        <f aca="false">IFERROR('Production &amp; Sales'!AW12,"")</f>
        <v>0</v>
      </c>
      <c r="AX8" s="119" t="n">
        <f aca="false">IFERROR('Production &amp; Sales'!AX12,"")</f>
        <v>0</v>
      </c>
      <c r="AY8" s="119" t="n">
        <f aca="false">IFERROR('Production &amp; Sales'!AY12,"")</f>
        <v>0</v>
      </c>
      <c r="AZ8" s="119" t="n">
        <f aca="false">IFERROR('Production &amp; Sales'!AZ12,"")</f>
        <v>0</v>
      </c>
      <c r="BA8" s="119" t="n">
        <f aca="false">IFERROR('Production &amp; Sales'!BA12,"")</f>
        <v>0</v>
      </c>
      <c r="BB8" s="119" t="n">
        <f aca="false">IFERROR('Production &amp; Sales'!BB12,"")</f>
        <v>0</v>
      </c>
      <c r="BC8" s="119" t="n">
        <f aca="false">IFERROR('Production &amp; Sales'!BC12,"")</f>
        <v>0</v>
      </c>
      <c r="BD8" s="119" t="n">
        <f aca="false">IFERROR('Production &amp; Sales'!BD12,"")</f>
        <v>0</v>
      </c>
      <c r="BE8" s="119" t="n">
        <f aca="false">IFERROR('Production &amp; Sales'!BE12,"")</f>
        <v>0</v>
      </c>
      <c r="BF8" s="119" t="n">
        <f aca="false">IFERROR('Production &amp; Sales'!BF12,"")</f>
        <v>0</v>
      </c>
      <c r="BG8" s="119" t="n">
        <f aca="false">IFERROR('Production &amp; Sales'!BG12,"")</f>
        <v>0</v>
      </c>
      <c r="BH8" s="119" t="n">
        <f aca="false">IFERROR('Production &amp; Sales'!BH12,"")</f>
        <v>0</v>
      </c>
      <c r="BI8" s="119" t="n">
        <f aca="false">IFERROR('Production &amp; Sales'!BI12,"")</f>
        <v>0</v>
      </c>
      <c r="BJ8" s="119" t="n">
        <f aca="false">IFERROR('Production &amp; Sales'!BJ12,"")</f>
        <v>0</v>
      </c>
    </row>
    <row r="9" customFormat="false" ht="15" hidden="false" customHeight="true" outlineLevel="0" collapsed="false">
      <c r="A9" s="120" t="str">
        <f aca="false">IFERROR(INDEX('Industry Labels'!$C$20:$Z$20,MATCH(Assumptions!$B$3,'Industry Labels'!$C$4:$Z$4,0)),"B.  VARIABLE / DIRECT COST")</f>
        <v>B.  VARIABLE / DIRECT COST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1"/>
      <c r="BA9" s="121"/>
      <c r="BB9" s="121"/>
      <c r="BC9" s="121"/>
      <c r="BD9" s="121"/>
      <c r="BE9" s="121"/>
      <c r="BF9" s="121"/>
      <c r="BG9" s="121"/>
      <c r="BH9" s="121"/>
      <c r="BI9" s="121"/>
      <c r="BJ9" s="121"/>
    </row>
    <row r="10" customFormat="false" ht="15" hidden="false" customHeight="true" outlineLevel="0" collapsed="false">
      <c r="A10" s="114" t="str">
        <f aca="false">IFERROR(INDEX('Industry Labels'!$C$21:$Z$21,MATCH(Assumptions!$B$3,'Industry Labels'!$C$4:$Z$4,0)),"Direct cost consumed")</f>
        <v>Direct cost consumed</v>
      </c>
      <c r="B10" s="111" t="s">
        <v>289</v>
      </c>
      <c r="C10" s="115" t="n">
        <f aca="false">IFERROR('Production &amp; Sales'!C9*Assumptions!$B$11*(1+Assumptions!$B$34)^(C6-1)/100000,"")</f>
        <v>0</v>
      </c>
      <c r="D10" s="115" t="n">
        <f aca="false">IFERROR('Production &amp; Sales'!D9*Assumptions!$B$11*(1+Assumptions!$B$34)^(D6-1)/100000,"")</f>
        <v>0</v>
      </c>
      <c r="E10" s="115" t="n">
        <f aca="false">IFERROR('Production &amp; Sales'!E9*Assumptions!$B$11*(1+Assumptions!$B$34)^(E6-1)/100000,"")</f>
        <v>0</v>
      </c>
      <c r="F10" s="115" t="n">
        <f aca="false">IFERROR('Production &amp; Sales'!F9*Assumptions!$B$11*(1+Assumptions!$B$34)^(F6-1)/100000,"")</f>
        <v>0</v>
      </c>
      <c r="G10" s="115" t="n">
        <f aca="false">IFERROR('Production &amp; Sales'!G9*Assumptions!$B$11*(1+Assumptions!$B$34)^(G6-1)/100000,"")</f>
        <v>0</v>
      </c>
      <c r="H10" s="115" t="n">
        <f aca="false">IFERROR('Production &amp; Sales'!H9*Assumptions!$B$11*(1+Assumptions!$B$34)^(H6-1)/100000,"")</f>
        <v>0</v>
      </c>
      <c r="I10" s="115" t="n">
        <f aca="false">IFERROR('Production &amp; Sales'!I9*Assumptions!$B$11*(1+Assumptions!$B$34)^(I6-1)/100000,"")</f>
        <v>0</v>
      </c>
      <c r="J10" s="115" t="n">
        <f aca="false">IFERROR('Production &amp; Sales'!J9*Assumptions!$B$11*(1+Assumptions!$B$34)^(J6-1)/100000,"")</f>
        <v>0</v>
      </c>
      <c r="K10" s="115" t="n">
        <f aca="false">IFERROR('Production &amp; Sales'!K9*Assumptions!$B$11*(1+Assumptions!$B$34)^(K6-1)/100000,"")</f>
        <v>0</v>
      </c>
      <c r="L10" s="115" t="n">
        <f aca="false">IFERROR('Production &amp; Sales'!L9*Assumptions!$B$11*(1+Assumptions!$B$34)^(L6-1)/100000,"")</f>
        <v>0</v>
      </c>
      <c r="M10" s="115" t="n">
        <f aca="false">IFERROR('Production &amp; Sales'!M9*Assumptions!$B$11*(1+Assumptions!$B$34)^(M6-1)/100000,"")</f>
        <v>0</v>
      </c>
      <c r="N10" s="115" t="n">
        <f aca="false">IFERROR('Production &amp; Sales'!N9*Assumptions!$B$11*(1+Assumptions!$B$34)^(N6-1)/100000,"")</f>
        <v>0</v>
      </c>
      <c r="O10" s="115" t="n">
        <f aca="false">IFERROR('Production &amp; Sales'!O9*Assumptions!$B$11*(1+Assumptions!$B$34)^(O6-1)/100000,"")</f>
        <v>0</v>
      </c>
      <c r="P10" s="115" t="n">
        <f aca="false">IFERROR('Production &amp; Sales'!P9*Assumptions!$B$11*(1+Assumptions!$B$34)^(P6-1)/100000,"")</f>
        <v>0</v>
      </c>
      <c r="Q10" s="115" t="n">
        <f aca="false">IFERROR('Production &amp; Sales'!Q9*Assumptions!$B$11*(1+Assumptions!$B$34)^(Q6-1)/100000,"")</f>
        <v>0</v>
      </c>
      <c r="R10" s="115" t="n">
        <f aca="false">IFERROR('Production &amp; Sales'!R9*Assumptions!$B$11*(1+Assumptions!$B$34)^(R6-1)/100000,"")</f>
        <v>0</v>
      </c>
      <c r="S10" s="115" t="n">
        <f aca="false">IFERROR('Production &amp; Sales'!S9*Assumptions!$B$11*(1+Assumptions!$B$34)^(S6-1)/100000,"")</f>
        <v>0</v>
      </c>
      <c r="T10" s="115" t="n">
        <f aca="false">IFERROR('Production &amp; Sales'!T9*Assumptions!$B$11*(1+Assumptions!$B$34)^(T6-1)/100000,"")</f>
        <v>0</v>
      </c>
      <c r="U10" s="115" t="n">
        <f aca="false">IFERROR('Production &amp; Sales'!U9*Assumptions!$B$11*(1+Assumptions!$B$34)^(U6-1)/100000,"")</f>
        <v>0</v>
      </c>
      <c r="V10" s="115" t="n">
        <f aca="false">IFERROR('Production &amp; Sales'!V9*Assumptions!$B$11*(1+Assumptions!$B$34)^(V6-1)/100000,"")</f>
        <v>0</v>
      </c>
      <c r="W10" s="115" t="n">
        <f aca="false">IFERROR('Production &amp; Sales'!W9*Assumptions!$B$11*(1+Assumptions!$B$34)^(W6-1)/100000,"")</f>
        <v>0</v>
      </c>
      <c r="X10" s="115" t="n">
        <f aca="false">IFERROR('Production &amp; Sales'!X9*Assumptions!$B$11*(1+Assumptions!$B$34)^(X6-1)/100000,"")</f>
        <v>0</v>
      </c>
      <c r="Y10" s="115" t="n">
        <f aca="false">IFERROR('Production &amp; Sales'!Y9*Assumptions!$B$11*(1+Assumptions!$B$34)^(Y6-1)/100000,"")</f>
        <v>0</v>
      </c>
      <c r="Z10" s="115" t="n">
        <f aca="false">IFERROR('Production &amp; Sales'!Z9*Assumptions!$B$11*(1+Assumptions!$B$34)^(Z6-1)/100000,"")</f>
        <v>0</v>
      </c>
      <c r="AA10" s="115" t="n">
        <f aca="false">IFERROR('Production &amp; Sales'!AA9*Assumptions!$B$11*(1+Assumptions!$B$34)^(AA6-1)/100000,"")</f>
        <v>0</v>
      </c>
      <c r="AB10" s="115" t="n">
        <f aca="false">IFERROR('Production &amp; Sales'!AB9*Assumptions!$B$11*(1+Assumptions!$B$34)^(AB6-1)/100000,"")</f>
        <v>0</v>
      </c>
      <c r="AC10" s="115" t="n">
        <f aca="false">IFERROR('Production &amp; Sales'!AC9*Assumptions!$B$11*(1+Assumptions!$B$34)^(AC6-1)/100000,"")</f>
        <v>0</v>
      </c>
      <c r="AD10" s="115" t="n">
        <f aca="false">IFERROR('Production &amp; Sales'!AD9*Assumptions!$B$11*(1+Assumptions!$B$34)^(AD6-1)/100000,"")</f>
        <v>0</v>
      </c>
      <c r="AE10" s="115" t="n">
        <f aca="false">IFERROR('Production &amp; Sales'!AE9*Assumptions!$B$11*(1+Assumptions!$B$34)^(AE6-1)/100000,"")</f>
        <v>0</v>
      </c>
      <c r="AF10" s="115" t="n">
        <f aca="false">IFERROR('Production &amp; Sales'!AF9*Assumptions!$B$11*(1+Assumptions!$B$34)^(AF6-1)/100000,"")</f>
        <v>0</v>
      </c>
      <c r="AG10" s="115" t="n">
        <f aca="false">IFERROR('Production &amp; Sales'!AG9*Assumptions!$B$11*(1+Assumptions!$B$34)^(AG6-1)/100000,"")</f>
        <v>0</v>
      </c>
      <c r="AH10" s="115" t="n">
        <f aca="false">IFERROR('Production &amp; Sales'!AH9*Assumptions!$B$11*(1+Assumptions!$B$34)^(AH6-1)/100000,"")</f>
        <v>0</v>
      </c>
      <c r="AI10" s="115" t="n">
        <f aca="false">IFERROR('Production &amp; Sales'!AI9*Assumptions!$B$11*(1+Assumptions!$B$34)^(AI6-1)/100000,"")</f>
        <v>0</v>
      </c>
      <c r="AJ10" s="115" t="n">
        <f aca="false">IFERROR('Production &amp; Sales'!AJ9*Assumptions!$B$11*(1+Assumptions!$B$34)^(AJ6-1)/100000,"")</f>
        <v>0</v>
      </c>
      <c r="AK10" s="115" t="n">
        <f aca="false">IFERROR('Production &amp; Sales'!AK9*Assumptions!$B$11*(1+Assumptions!$B$34)^(AK6-1)/100000,"")</f>
        <v>0</v>
      </c>
      <c r="AL10" s="115" t="n">
        <f aca="false">IFERROR('Production &amp; Sales'!AL9*Assumptions!$B$11*(1+Assumptions!$B$34)^(AL6-1)/100000,"")</f>
        <v>0</v>
      </c>
      <c r="AM10" s="115" t="n">
        <f aca="false">IFERROR('Production &amp; Sales'!AM9*Assumptions!$B$11*(1+Assumptions!$B$34)^(AM6-1)/100000,"")</f>
        <v>0</v>
      </c>
      <c r="AN10" s="115" t="n">
        <f aca="false">IFERROR('Production &amp; Sales'!AN9*Assumptions!$B$11*(1+Assumptions!$B$34)^(AN6-1)/100000,"")</f>
        <v>0</v>
      </c>
      <c r="AO10" s="115" t="n">
        <f aca="false">IFERROR('Production &amp; Sales'!AO9*Assumptions!$B$11*(1+Assumptions!$B$34)^(AO6-1)/100000,"")</f>
        <v>0</v>
      </c>
      <c r="AP10" s="115" t="n">
        <f aca="false">IFERROR('Production &amp; Sales'!AP9*Assumptions!$B$11*(1+Assumptions!$B$34)^(AP6-1)/100000,"")</f>
        <v>0</v>
      </c>
      <c r="AQ10" s="115" t="n">
        <f aca="false">IFERROR('Production &amp; Sales'!AQ9*Assumptions!$B$11*(1+Assumptions!$B$34)^(AQ6-1)/100000,"")</f>
        <v>0</v>
      </c>
      <c r="AR10" s="115" t="n">
        <f aca="false">IFERROR('Production &amp; Sales'!AR9*Assumptions!$B$11*(1+Assumptions!$B$34)^(AR6-1)/100000,"")</f>
        <v>0</v>
      </c>
      <c r="AS10" s="115" t="n">
        <f aca="false">IFERROR('Production &amp; Sales'!AS9*Assumptions!$B$11*(1+Assumptions!$B$34)^(AS6-1)/100000,"")</f>
        <v>0</v>
      </c>
      <c r="AT10" s="115" t="n">
        <f aca="false">IFERROR('Production &amp; Sales'!AT9*Assumptions!$B$11*(1+Assumptions!$B$34)^(AT6-1)/100000,"")</f>
        <v>0</v>
      </c>
      <c r="AU10" s="115" t="n">
        <f aca="false">IFERROR('Production &amp; Sales'!AU9*Assumptions!$B$11*(1+Assumptions!$B$34)^(AU6-1)/100000,"")</f>
        <v>0</v>
      </c>
      <c r="AV10" s="115" t="n">
        <f aca="false">IFERROR('Production &amp; Sales'!AV9*Assumptions!$B$11*(1+Assumptions!$B$34)^(AV6-1)/100000,"")</f>
        <v>0</v>
      </c>
      <c r="AW10" s="115" t="n">
        <f aca="false">IFERROR('Production &amp; Sales'!AW9*Assumptions!$B$11*(1+Assumptions!$B$34)^(AW6-1)/100000,"")</f>
        <v>0</v>
      </c>
      <c r="AX10" s="115" t="n">
        <f aca="false">IFERROR('Production &amp; Sales'!AX9*Assumptions!$B$11*(1+Assumptions!$B$34)^(AX6-1)/100000,"")</f>
        <v>0</v>
      </c>
      <c r="AY10" s="115" t="n">
        <f aca="false">IFERROR('Production &amp; Sales'!AY9*Assumptions!$B$11*(1+Assumptions!$B$34)^(AY6-1)/100000,"")</f>
        <v>0</v>
      </c>
      <c r="AZ10" s="115" t="n">
        <f aca="false">IFERROR('Production &amp; Sales'!AZ9*Assumptions!$B$11*(1+Assumptions!$B$34)^(AZ6-1)/100000,"")</f>
        <v>0</v>
      </c>
      <c r="BA10" s="115" t="n">
        <f aca="false">IFERROR('Production &amp; Sales'!BA9*Assumptions!$B$11*(1+Assumptions!$B$34)^(BA6-1)/100000,"")</f>
        <v>0</v>
      </c>
      <c r="BB10" s="115" t="n">
        <f aca="false">IFERROR('Production &amp; Sales'!BB9*Assumptions!$B$11*(1+Assumptions!$B$34)^(BB6-1)/100000,"")</f>
        <v>0</v>
      </c>
      <c r="BC10" s="115" t="n">
        <f aca="false">IFERROR('Production &amp; Sales'!BC9*Assumptions!$B$11*(1+Assumptions!$B$34)^(BC6-1)/100000,"")</f>
        <v>0</v>
      </c>
      <c r="BD10" s="115" t="n">
        <f aca="false">IFERROR('Production &amp; Sales'!BD9*Assumptions!$B$11*(1+Assumptions!$B$34)^(BD6-1)/100000,"")</f>
        <v>0</v>
      </c>
      <c r="BE10" s="115" t="n">
        <f aca="false">IFERROR('Production &amp; Sales'!BE9*Assumptions!$B$11*(1+Assumptions!$B$34)^(BE6-1)/100000,"")</f>
        <v>0</v>
      </c>
      <c r="BF10" s="115" t="n">
        <f aca="false">IFERROR('Production &amp; Sales'!BF9*Assumptions!$B$11*(1+Assumptions!$B$34)^(BF6-1)/100000,"")</f>
        <v>0</v>
      </c>
      <c r="BG10" s="115" t="n">
        <f aca="false">IFERROR('Production &amp; Sales'!BG9*Assumptions!$B$11*(1+Assumptions!$B$34)^(BG6-1)/100000,"")</f>
        <v>0</v>
      </c>
      <c r="BH10" s="115" t="n">
        <f aca="false">IFERROR('Production &amp; Sales'!BH9*Assumptions!$B$11*(1+Assumptions!$B$34)^(BH6-1)/100000,"")</f>
        <v>0</v>
      </c>
      <c r="BI10" s="115" t="n">
        <f aca="false">IFERROR('Production &amp; Sales'!BI9*Assumptions!$B$11*(1+Assumptions!$B$34)^(BI6-1)/100000,"")</f>
        <v>0</v>
      </c>
      <c r="BJ10" s="115" t="n">
        <f aca="false">IFERROR('Production &amp; Sales'!BJ9*Assumptions!$B$11*(1+Assumptions!$B$34)^(BJ6-1)/100000,"")</f>
        <v>0</v>
      </c>
    </row>
    <row r="11" customFormat="false" ht="15" hidden="false" customHeight="true" outlineLevel="0" collapsed="false">
      <c r="A11" s="114" t="str">
        <f aca="false">IFERROR(INDEX('Industry Labels'!$C$22:$Z$22,MATCH(Assumptions!$B$3,'Industry Labels'!$C$4:$Z$4,0)),"Utilities &amp; energy")&amp;" (variable)"</f>
        <v>Utilities &amp; energy (variable)</v>
      </c>
      <c r="B11" s="111" t="s">
        <v>289</v>
      </c>
      <c r="C11" s="115" t="n">
        <f aca="false">IFERROR('Production &amp; Sales'!C9*Assumptions!$B$39*(1+Assumptions!$B$35)^(C6-1)/100000,"")</f>
        <v>0</v>
      </c>
      <c r="D11" s="115" t="n">
        <f aca="false">IFERROR('Production &amp; Sales'!D9*Assumptions!$B$39*(1+Assumptions!$B$35)^(D6-1)/100000,"")</f>
        <v>0</v>
      </c>
      <c r="E11" s="115" t="n">
        <f aca="false">IFERROR('Production &amp; Sales'!E9*Assumptions!$B$39*(1+Assumptions!$B$35)^(E6-1)/100000,"")</f>
        <v>0</v>
      </c>
      <c r="F11" s="115" t="n">
        <f aca="false">IFERROR('Production &amp; Sales'!F9*Assumptions!$B$39*(1+Assumptions!$B$35)^(F6-1)/100000,"")</f>
        <v>0</v>
      </c>
      <c r="G11" s="115" t="n">
        <f aca="false">IFERROR('Production &amp; Sales'!G9*Assumptions!$B$39*(1+Assumptions!$B$35)^(G6-1)/100000,"")</f>
        <v>0</v>
      </c>
      <c r="H11" s="115" t="n">
        <f aca="false">IFERROR('Production &amp; Sales'!H9*Assumptions!$B$39*(1+Assumptions!$B$35)^(H6-1)/100000,"")</f>
        <v>0</v>
      </c>
      <c r="I11" s="115" t="n">
        <f aca="false">IFERROR('Production &amp; Sales'!I9*Assumptions!$B$39*(1+Assumptions!$B$35)^(I6-1)/100000,"")</f>
        <v>0</v>
      </c>
      <c r="J11" s="115" t="n">
        <f aca="false">IFERROR('Production &amp; Sales'!J9*Assumptions!$B$39*(1+Assumptions!$B$35)^(J6-1)/100000,"")</f>
        <v>0</v>
      </c>
      <c r="K11" s="115" t="n">
        <f aca="false">IFERROR('Production &amp; Sales'!K9*Assumptions!$B$39*(1+Assumptions!$B$35)^(K6-1)/100000,"")</f>
        <v>0</v>
      </c>
      <c r="L11" s="115" t="n">
        <f aca="false">IFERROR('Production &amp; Sales'!L9*Assumptions!$B$39*(1+Assumptions!$B$35)^(L6-1)/100000,"")</f>
        <v>0</v>
      </c>
      <c r="M11" s="115" t="n">
        <f aca="false">IFERROR('Production &amp; Sales'!M9*Assumptions!$B$39*(1+Assumptions!$B$35)^(M6-1)/100000,"")</f>
        <v>0</v>
      </c>
      <c r="N11" s="115" t="n">
        <f aca="false">IFERROR('Production &amp; Sales'!N9*Assumptions!$B$39*(1+Assumptions!$B$35)^(N6-1)/100000,"")</f>
        <v>0</v>
      </c>
      <c r="O11" s="115" t="n">
        <f aca="false">IFERROR('Production &amp; Sales'!O9*Assumptions!$B$39*(1+Assumptions!$B$35)^(O6-1)/100000,"")</f>
        <v>0</v>
      </c>
      <c r="P11" s="115" t="n">
        <f aca="false">IFERROR('Production &amp; Sales'!P9*Assumptions!$B$39*(1+Assumptions!$B$35)^(P6-1)/100000,"")</f>
        <v>0</v>
      </c>
      <c r="Q11" s="115" t="n">
        <f aca="false">IFERROR('Production &amp; Sales'!Q9*Assumptions!$B$39*(1+Assumptions!$B$35)^(Q6-1)/100000,"")</f>
        <v>0</v>
      </c>
      <c r="R11" s="115" t="n">
        <f aca="false">IFERROR('Production &amp; Sales'!R9*Assumptions!$B$39*(1+Assumptions!$B$35)^(R6-1)/100000,"")</f>
        <v>0</v>
      </c>
      <c r="S11" s="115" t="n">
        <f aca="false">IFERROR('Production &amp; Sales'!S9*Assumptions!$B$39*(1+Assumptions!$B$35)^(S6-1)/100000,"")</f>
        <v>0</v>
      </c>
      <c r="T11" s="115" t="n">
        <f aca="false">IFERROR('Production &amp; Sales'!T9*Assumptions!$B$39*(1+Assumptions!$B$35)^(T6-1)/100000,"")</f>
        <v>0</v>
      </c>
      <c r="U11" s="115" t="n">
        <f aca="false">IFERROR('Production &amp; Sales'!U9*Assumptions!$B$39*(1+Assumptions!$B$35)^(U6-1)/100000,"")</f>
        <v>0</v>
      </c>
      <c r="V11" s="115" t="n">
        <f aca="false">IFERROR('Production &amp; Sales'!V9*Assumptions!$B$39*(1+Assumptions!$B$35)^(V6-1)/100000,"")</f>
        <v>0</v>
      </c>
      <c r="W11" s="115" t="n">
        <f aca="false">IFERROR('Production &amp; Sales'!W9*Assumptions!$B$39*(1+Assumptions!$B$35)^(W6-1)/100000,"")</f>
        <v>0</v>
      </c>
      <c r="X11" s="115" t="n">
        <f aca="false">IFERROR('Production &amp; Sales'!X9*Assumptions!$B$39*(1+Assumptions!$B$35)^(X6-1)/100000,"")</f>
        <v>0</v>
      </c>
      <c r="Y11" s="115" t="n">
        <f aca="false">IFERROR('Production &amp; Sales'!Y9*Assumptions!$B$39*(1+Assumptions!$B$35)^(Y6-1)/100000,"")</f>
        <v>0</v>
      </c>
      <c r="Z11" s="115" t="n">
        <f aca="false">IFERROR('Production &amp; Sales'!Z9*Assumptions!$B$39*(1+Assumptions!$B$35)^(Z6-1)/100000,"")</f>
        <v>0</v>
      </c>
      <c r="AA11" s="115" t="n">
        <f aca="false">IFERROR('Production &amp; Sales'!AA9*Assumptions!$B$39*(1+Assumptions!$B$35)^(AA6-1)/100000,"")</f>
        <v>0</v>
      </c>
      <c r="AB11" s="115" t="n">
        <f aca="false">IFERROR('Production &amp; Sales'!AB9*Assumptions!$B$39*(1+Assumptions!$B$35)^(AB6-1)/100000,"")</f>
        <v>0</v>
      </c>
      <c r="AC11" s="115" t="n">
        <f aca="false">IFERROR('Production &amp; Sales'!AC9*Assumptions!$B$39*(1+Assumptions!$B$35)^(AC6-1)/100000,"")</f>
        <v>0</v>
      </c>
      <c r="AD11" s="115" t="n">
        <f aca="false">IFERROR('Production &amp; Sales'!AD9*Assumptions!$B$39*(1+Assumptions!$B$35)^(AD6-1)/100000,"")</f>
        <v>0</v>
      </c>
      <c r="AE11" s="115" t="n">
        <f aca="false">IFERROR('Production &amp; Sales'!AE9*Assumptions!$B$39*(1+Assumptions!$B$35)^(AE6-1)/100000,"")</f>
        <v>0</v>
      </c>
      <c r="AF11" s="115" t="n">
        <f aca="false">IFERROR('Production &amp; Sales'!AF9*Assumptions!$B$39*(1+Assumptions!$B$35)^(AF6-1)/100000,"")</f>
        <v>0</v>
      </c>
      <c r="AG11" s="115" t="n">
        <f aca="false">IFERROR('Production &amp; Sales'!AG9*Assumptions!$B$39*(1+Assumptions!$B$35)^(AG6-1)/100000,"")</f>
        <v>0</v>
      </c>
      <c r="AH11" s="115" t="n">
        <f aca="false">IFERROR('Production &amp; Sales'!AH9*Assumptions!$B$39*(1+Assumptions!$B$35)^(AH6-1)/100000,"")</f>
        <v>0</v>
      </c>
      <c r="AI11" s="115" t="n">
        <f aca="false">IFERROR('Production &amp; Sales'!AI9*Assumptions!$B$39*(1+Assumptions!$B$35)^(AI6-1)/100000,"")</f>
        <v>0</v>
      </c>
      <c r="AJ11" s="115" t="n">
        <f aca="false">IFERROR('Production &amp; Sales'!AJ9*Assumptions!$B$39*(1+Assumptions!$B$35)^(AJ6-1)/100000,"")</f>
        <v>0</v>
      </c>
      <c r="AK11" s="115" t="n">
        <f aca="false">IFERROR('Production &amp; Sales'!AK9*Assumptions!$B$39*(1+Assumptions!$B$35)^(AK6-1)/100000,"")</f>
        <v>0</v>
      </c>
      <c r="AL11" s="115" t="n">
        <f aca="false">IFERROR('Production &amp; Sales'!AL9*Assumptions!$B$39*(1+Assumptions!$B$35)^(AL6-1)/100000,"")</f>
        <v>0</v>
      </c>
      <c r="AM11" s="115" t="n">
        <f aca="false">IFERROR('Production &amp; Sales'!AM9*Assumptions!$B$39*(1+Assumptions!$B$35)^(AM6-1)/100000,"")</f>
        <v>0</v>
      </c>
      <c r="AN11" s="115" t="n">
        <f aca="false">IFERROR('Production &amp; Sales'!AN9*Assumptions!$B$39*(1+Assumptions!$B$35)^(AN6-1)/100000,"")</f>
        <v>0</v>
      </c>
      <c r="AO11" s="115" t="n">
        <f aca="false">IFERROR('Production &amp; Sales'!AO9*Assumptions!$B$39*(1+Assumptions!$B$35)^(AO6-1)/100000,"")</f>
        <v>0</v>
      </c>
      <c r="AP11" s="115" t="n">
        <f aca="false">IFERROR('Production &amp; Sales'!AP9*Assumptions!$B$39*(1+Assumptions!$B$35)^(AP6-1)/100000,"")</f>
        <v>0</v>
      </c>
      <c r="AQ11" s="115" t="n">
        <f aca="false">IFERROR('Production &amp; Sales'!AQ9*Assumptions!$B$39*(1+Assumptions!$B$35)^(AQ6-1)/100000,"")</f>
        <v>0</v>
      </c>
      <c r="AR11" s="115" t="n">
        <f aca="false">IFERROR('Production &amp; Sales'!AR9*Assumptions!$B$39*(1+Assumptions!$B$35)^(AR6-1)/100000,"")</f>
        <v>0</v>
      </c>
      <c r="AS11" s="115" t="n">
        <f aca="false">IFERROR('Production &amp; Sales'!AS9*Assumptions!$B$39*(1+Assumptions!$B$35)^(AS6-1)/100000,"")</f>
        <v>0</v>
      </c>
      <c r="AT11" s="115" t="n">
        <f aca="false">IFERROR('Production &amp; Sales'!AT9*Assumptions!$B$39*(1+Assumptions!$B$35)^(AT6-1)/100000,"")</f>
        <v>0</v>
      </c>
      <c r="AU11" s="115" t="n">
        <f aca="false">IFERROR('Production &amp; Sales'!AU9*Assumptions!$B$39*(1+Assumptions!$B$35)^(AU6-1)/100000,"")</f>
        <v>0</v>
      </c>
      <c r="AV11" s="115" t="n">
        <f aca="false">IFERROR('Production &amp; Sales'!AV9*Assumptions!$B$39*(1+Assumptions!$B$35)^(AV6-1)/100000,"")</f>
        <v>0</v>
      </c>
      <c r="AW11" s="115" t="n">
        <f aca="false">IFERROR('Production &amp; Sales'!AW9*Assumptions!$B$39*(1+Assumptions!$B$35)^(AW6-1)/100000,"")</f>
        <v>0</v>
      </c>
      <c r="AX11" s="115" t="n">
        <f aca="false">IFERROR('Production &amp; Sales'!AX9*Assumptions!$B$39*(1+Assumptions!$B$35)^(AX6-1)/100000,"")</f>
        <v>0</v>
      </c>
      <c r="AY11" s="115" t="n">
        <f aca="false">IFERROR('Production &amp; Sales'!AY9*Assumptions!$B$39*(1+Assumptions!$B$35)^(AY6-1)/100000,"")</f>
        <v>0</v>
      </c>
      <c r="AZ11" s="115" t="n">
        <f aca="false">IFERROR('Production &amp; Sales'!AZ9*Assumptions!$B$39*(1+Assumptions!$B$35)^(AZ6-1)/100000,"")</f>
        <v>0</v>
      </c>
      <c r="BA11" s="115" t="n">
        <f aca="false">IFERROR('Production &amp; Sales'!BA9*Assumptions!$B$39*(1+Assumptions!$B$35)^(BA6-1)/100000,"")</f>
        <v>0</v>
      </c>
      <c r="BB11" s="115" t="n">
        <f aca="false">IFERROR('Production &amp; Sales'!BB9*Assumptions!$B$39*(1+Assumptions!$B$35)^(BB6-1)/100000,"")</f>
        <v>0</v>
      </c>
      <c r="BC11" s="115" t="n">
        <f aca="false">IFERROR('Production &amp; Sales'!BC9*Assumptions!$B$39*(1+Assumptions!$B$35)^(BC6-1)/100000,"")</f>
        <v>0</v>
      </c>
      <c r="BD11" s="115" t="n">
        <f aca="false">IFERROR('Production &amp; Sales'!BD9*Assumptions!$B$39*(1+Assumptions!$B$35)^(BD6-1)/100000,"")</f>
        <v>0</v>
      </c>
      <c r="BE11" s="115" t="n">
        <f aca="false">IFERROR('Production &amp; Sales'!BE9*Assumptions!$B$39*(1+Assumptions!$B$35)^(BE6-1)/100000,"")</f>
        <v>0</v>
      </c>
      <c r="BF11" s="115" t="n">
        <f aca="false">IFERROR('Production &amp; Sales'!BF9*Assumptions!$B$39*(1+Assumptions!$B$35)^(BF6-1)/100000,"")</f>
        <v>0</v>
      </c>
      <c r="BG11" s="115" t="n">
        <f aca="false">IFERROR('Production &amp; Sales'!BG9*Assumptions!$B$39*(1+Assumptions!$B$35)^(BG6-1)/100000,"")</f>
        <v>0</v>
      </c>
      <c r="BH11" s="115" t="n">
        <f aca="false">IFERROR('Production &amp; Sales'!BH9*Assumptions!$B$39*(1+Assumptions!$B$35)^(BH6-1)/100000,"")</f>
        <v>0</v>
      </c>
      <c r="BI11" s="115" t="n">
        <f aca="false">IFERROR('Production &amp; Sales'!BI9*Assumptions!$B$39*(1+Assumptions!$B$35)^(BI6-1)/100000,"")</f>
        <v>0</v>
      </c>
      <c r="BJ11" s="115" t="n">
        <f aca="false">IFERROR('Production &amp; Sales'!BJ9*Assumptions!$B$39*(1+Assumptions!$B$35)^(BJ6-1)/100000,"")</f>
        <v>0</v>
      </c>
    </row>
    <row r="12" customFormat="false" ht="15" hidden="false" customHeight="true" outlineLevel="0" collapsed="false">
      <c r="A12" s="114" t="str">
        <f aca="false">IFERROR(INDEX('Industry Labels'!$C$23:$Z$23,MATCH(Assumptions!$B$3,'Industry Labels'!$C$4:$Z$4,0)),"Consumables, supplies &amp; packing")</f>
        <v>Consumables, supplies &amp; packing</v>
      </c>
      <c r="B12" s="111" t="s">
        <v>289</v>
      </c>
      <c r="C12" s="115" t="n">
        <f aca="false">IFERROR('Production &amp; Sales'!C9*(Assumptions!$B$40+Assumptions!$B$41)*(1+Assumptions!$B$37)^(C6-1)/100000,"")</f>
        <v>0</v>
      </c>
      <c r="D12" s="115" t="n">
        <f aca="false">IFERROR('Production &amp; Sales'!D9*(Assumptions!$B$40+Assumptions!$B$41)*(1+Assumptions!$B$37)^(D6-1)/100000,"")</f>
        <v>0</v>
      </c>
      <c r="E12" s="115" t="n">
        <f aca="false">IFERROR('Production &amp; Sales'!E9*(Assumptions!$B$40+Assumptions!$B$41)*(1+Assumptions!$B$37)^(E6-1)/100000,"")</f>
        <v>0</v>
      </c>
      <c r="F12" s="115" t="n">
        <f aca="false">IFERROR('Production &amp; Sales'!F9*(Assumptions!$B$40+Assumptions!$B$41)*(1+Assumptions!$B$37)^(F6-1)/100000,"")</f>
        <v>0</v>
      </c>
      <c r="G12" s="115" t="n">
        <f aca="false">IFERROR('Production &amp; Sales'!G9*(Assumptions!$B$40+Assumptions!$B$41)*(1+Assumptions!$B$37)^(G6-1)/100000,"")</f>
        <v>0</v>
      </c>
      <c r="H12" s="115" t="n">
        <f aca="false">IFERROR('Production &amp; Sales'!H9*(Assumptions!$B$40+Assumptions!$B$41)*(1+Assumptions!$B$37)^(H6-1)/100000,"")</f>
        <v>0</v>
      </c>
      <c r="I12" s="115" t="n">
        <f aca="false">IFERROR('Production &amp; Sales'!I9*(Assumptions!$B$40+Assumptions!$B$41)*(1+Assumptions!$B$37)^(I6-1)/100000,"")</f>
        <v>0</v>
      </c>
      <c r="J12" s="115" t="n">
        <f aca="false">IFERROR('Production &amp; Sales'!J9*(Assumptions!$B$40+Assumptions!$B$41)*(1+Assumptions!$B$37)^(J6-1)/100000,"")</f>
        <v>0</v>
      </c>
      <c r="K12" s="115" t="n">
        <f aca="false">IFERROR('Production &amp; Sales'!K9*(Assumptions!$B$40+Assumptions!$B$41)*(1+Assumptions!$B$37)^(K6-1)/100000,"")</f>
        <v>0</v>
      </c>
      <c r="L12" s="115" t="n">
        <f aca="false">IFERROR('Production &amp; Sales'!L9*(Assumptions!$B$40+Assumptions!$B$41)*(1+Assumptions!$B$37)^(L6-1)/100000,"")</f>
        <v>0</v>
      </c>
      <c r="M12" s="115" t="n">
        <f aca="false">IFERROR('Production &amp; Sales'!M9*(Assumptions!$B$40+Assumptions!$B$41)*(1+Assumptions!$B$37)^(M6-1)/100000,"")</f>
        <v>0</v>
      </c>
      <c r="N12" s="115" t="n">
        <f aca="false">IFERROR('Production &amp; Sales'!N9*(Assumptions!$B$40+Assumptions!$B$41)*(1+Assumptions!$B$37)^(N6-1)/100000,"")</f>
        <v>0</v>
      </c>
      <c r="O12" s="115" t="n">
        <f aca="false">IFERROR('Production &amp; Sales'!O9*(Assumptions!$B$40+Assumptions!$B$41)*(1+Assumptions!$B$37)^(O6-1)/100000,"")</f>
        <v>0</v>
      </c>
      <c r="P12" s="115" t="n">
        <f aca="false">IFERROR('Production &amp; Sales'!P9*(Assumptions!$B$40+Assumptions!$B$41)*(1+Assumptions!$B$37)^(P6-1)/100000,"")</f>
        <v>0</v>
      </c>
      <c r="Q12" s="115" t="n">
        <f aca="false">IFERROR('Production &amp; Sales'!Q9*(Assumptions!$B$40+Assumptions!$B$41)*(1+Assumptions!$B$37)^(Q6-1)/100000,"")</f>
        <v>0</v>
      </c>
      <c r="R12" s="115" t="n">
        <f aca="false">IFERROR('Production &amp; Sales'!R9*(Assumptions!$B$40+Assumptions!$B$41)*(1+Assumptions!$B$37)^(R6-1)/100000,"")</f>
        <v>0</v>
      </c>
      <c r="S12" s="115" t="n">
        <f aca="false">IFERROR('Production &amp; Sales'!S9*(Assumptions!$B$40+Assumptions!$B$41)*(1+Assumptions!$B$37)^(S6-1)/100000,"")</f>
        <v>0</v>
      </c>
      <c r="T12" s="115" t="n">
        <f aca="false">IFERROR('Production &amp; Sales'!T9*(Assumptions!$B$40+Assumptions!$B$41)*(1+Assumptions!$B$37)^(T6-1)/100000,"")</f>
        <v>0</v>
      </c>
      <c r="U12" s="115" t="n">
        <f aca="false">IFERROR('Production &amp; Sales'!U9*(Assumptions!$B$40+Assumptions!$B$41)*(1+Assumptions!$B$37)^(U6-1)/100000,"")</f>
        <v>0</v>
      </c>
      <c r="V12" s="115" t="n">
        <f aca="false">IFERROR('Production &amp; Sales'!V9*(Assumptions!$B$40+Assumptions!$B$41)*(1+Assumptions!$B$37)^(V6-1)/100000,"")</f>
        <v>0</v>
      </c>
      <c r="W12" s="115" t="n">
        <f aca="false">IFERROR('Production &amp; Sales'!W9*(Assumptions!$B$40+Assumptions!$B$41)*(1+Assumptions!$B$37)^(W6-1)/100000,"")</f>
        <v>0</v>
      </c>
      <c r="X12" s="115" t="n">
        <f aca="false">IFERROR('Production &amp; Sales'!X9*(Assumptions!$B$40+Assumptions!$B$41)*(1+Assumptions!$B$37)^(X6-1)/100000,"")</f>
        <v>0</v>
      </c>
      <c r="Y12" s="115" t="n">
        <f aca="false">IFERROR('Production &amp; Sales'!Y9*(Assumptions!$B$40+Assumptions!$B$41)*(1+Assumptions!$B$37)^(Y6-1)/100000,"")</f>
        <v>0</v>
      </c>
      <c r="Z12" s="115" t="n">
        <f aca="false">IFERROR('Production &amp; Sales'!Z9*(Assumptions!$B$40+Assumptions!$B$41)*(1+Assumptions!$B$37)^(Z6-1)/100000,"")</f>
        <v>0</v>
      </c>
      <c r="AA12" s="115" t="n">
        <f aca="false">IFERROR('Production &amp; Sales'!AA9*(Assumptions!$B$40+Assumptions!$B$41)*(1+Assumptions!$B$37)^(AA6-1)/100000,"")</f>
        <v>0</v>
      </c>
      <c r="AB12" s="115" t="n">
        <f aca="false">IFERROR('Production &amp; Sales'!AB9*(Assumptions!$B$40+Assumptions!$B$41)*(1+Assumptions!$B$37)^(AB6-1)/100000,"")</f>
        <v>0</v>
      </c>
      <c r="AC12" s="115" t="n">
        <f aca="false">IFERROR('Production &amp; Sales'!AC9*(Assumptions!$B$40+Assumptions!$B$41)*(1+Assumptions!$B$37)^(AC6-1)/100000,"")</f>
        <v>0</v>
      </c>
      <c r="AD12" s="115" t="n">
        <f aca="false">IFERROR('Production &amp; Sales'!AD9*(Assumptions!$B$40+Assumptions!$B$41)*(1+Assumptions!$B$37)^(AD6-1)/100000,"")</f>
        <v>0</v>
      </c>
      <c r="AE12" s="115" t="n">
        <f aca="false">IFERROR('Production &amp; Sales'!AE9*(Assumptions!$B$40+Assumptions!$B$41)*(1+Assumptions!$B$37)^(AE6-1)/100000,"")</f>
        <v>0</v>
      </c>
      <c r="AF12" s="115" t="n">
        <f aca="false">IFERROR('Production &amp; Sales'!AF9*(Assumptions!$B$40+Assumptions!$B$41)*(1+Assumptions!$B$37)^(AF6-1)/100000,"")</f>
        <v>0</v>
      </c>
      <c r="AG12" s="115" t="n">
        <f aca="false">IFERROR('Production &amp; Sales'!AG9*(Assumptions!$B$40+Assumptions!$B$41)*(1+Assumptions!$B$37)^(AG6-1)/100000,"")</f>
        <v>0</v>
      </c>
      <c r="AH12" s="115" t="n">
        <f aca="false">IFERROR('Production &amp; Sales'!AH9*(Assumptions!$B$40+Assumptions!$B$41)*(1+Assumptions!$B$37)^(AH6-1)/100000,"")</f>
        <v>0</v>
      </c>
      <c r="AI12" s="115" t="n">
        <f aca="false">IFERROR('Production &amp; Sales'!AI9*(Assumptions!$B$40+Assumptions!$B$41)*(1+Assumptions!$B$37)^(AI6-1)/100000,"")</f>
        <v>0</v>
      </c>
      <c r="AJ12" s="115" t="n">
        <f aca="false">IFERROR('Production &amp; Sales'!AJ9*(Assumptions!$B$40+Assumptions!$B$41)*(1+Assumptions!$B$37)^(AJ6-1)/100000,"")</f>
        <v>0</v>
      </c>
      <c r="AK12" s="115" t="n">
        <f aca="false">IFERROR('Production &amp; Sales'!AK9*(Assumptions!$B$40+Assumptions!$B$41)*(1+Assumptions!$B$37)^(AK6-1)/100000,"")</f>
        <v>0</v>
      </c>
      <c r="AL12" s="115" t="n">
        <f aca="false">IFERROR('Production &amp; Sales'!AL9*(Assumptions!$B$40+Assumptions!$B$41)*(1+Assumptions!$B$37)^(AL6-1)/100000,"")</f>
        <v>0</v>
      </c>
      <c r="AM12" s="115" t="n">
        <f aca="false">IFERROR('Production &amp; Sales'!AM9*(Assumptions!$B$40+Assumptions!$B$41)*(1+Assumptions!$B$37)^(AM6-1)/100000,"")</f>
        <v>0</v>
      </c>
      <c r="AN12" s="115" t="n">
        <f aca="false">IFERROR('Production &amp; Sales'!AN9*(Assumptions!$B$40+Assumptions!$B$41)*(1+Assumptions!$B$37)^(AN6-1)/100000,"")</f>
        <v>0</v>
      </c>
      <c r="AO12" s="115" t="n">
        <f aca="false">IFERROR('Production &amp; Sales'!AO9*(Assumptions!$B$40+Assumptions!$B$41)*(1+Assumptions!$B$37)^(AO6-1)/100000,"")</f>
        <v>0</v>
      </c>
      <c r="AP12" s="115" t="n">
        <f aca="false">IFERROR('Production &amp; Sales'!AP9*(Assumptions!$B$40+Assumptions!$B$41)*(1+Assumptions!$B$37)^(AP6-1)/100000,"")</f>
        <v>0</v>
      </c>
      <c r="AQ12" s="115" t="n">
        <f aca="false">IFERROR('Production &amp; Sales'!AQ9*(Assumptions!$B$40+Assumptions!$B$41)*(1+Assumptions!$B$37)^(AQ6-1)/100000,"")</f>
        <v>0</v>
      </c>
      <c r="AR12" s="115" t="n">
        <f aca="false">IFERROR('Production &amp; Sales'!AR9*(Assumptions!$B$40+Assumptions!$B$41)*(1+Assumptions!$B$37)^(AR6-1)/100000,"")</f>
        <v>0</v>
      </c>
      <c r="AS12" s="115" t="n">
        <f aca="false">IFERROR('Production &amp; Sales'!AS9*(Assumptions!$B$40+Assumptions!$B$41)*(1+Assumptions!$B$37)^(AS6-1)/100000,"")</f>
        <v>0</v>
      </c>
      <c r="AT12" s="115" t="n">
        <f aca="false">IFERROR('Production &amp; Sales'!AT9*(Assumptions!$B$40+Assumptions!$B$41)*(1+Assumptions!$B$37)^(AT6-1)/100000,"")</f>
        <v>0</v>
      </c>
      <c r="AU12" s="115" t="n">
        <f aca="false">IFERROR('Production &amp; Sales'!AU9*(Assumptions!$B$40+Assumptions!$B$41)*(1+Assumptions!$B$37)^(AU6-1)/100000,"")</f>
        <v>0</v>
      </c>
      <c r="AV12" s="115" t="n">
        <f aca="false">IFERROR('Production &amp; Sales'!AV9*(Assumptions!$B$40+Assumptions!$B$41)*(1+Assumptions!$B$37)^(AV6-1)/100000,"")</f>
        <v>0</v>
      </c>
      <c r="AW12" s="115" t="n">
        <f aca="false">IFERROR('Production &amp; Sales'!AW9*(Assumptions!$B$40+Assumptions!$B$41)*(1+Assumptions!$B$37)^(AW6-1)/100000,"")</f>
        <v>0</v>
      </c>
      <c r="AX12" s="115" t="n">
        <f aca="false">IFERROR('Production &amp; Sales'!AX9*(Assumptions!$B$40+Assumptions!$B$41)*(1+Assumptions!$B$37)^(AX6-1)/100000,"")</f>
        <v>0</v>
      </c>
      <c r="AY12" s="115" t="n">
        <f aca="false">IFERROR('Production &amp; Sales'!AY9*(Assumptions!$B$40+Assumptions!$B$41)*(1+Assumptions!$B$37)^(AY6-1)/100000,"")</f>
        <v>0</v>
      </c>
      <c r="AZ12" s="115" t="n">
        <f aca="false">IFERROR('Production &amp; Sales'!AZ9*(Assumptions!$B$40+Assumptions!$B$41)*(1+Assumptions!$B$37)^(AZ6-1)/100000,"")</f>
        <v>0</v>
      </c>
      <c r="BA12" s="115" t="n">
        <f aca="false">IFERROR('Production &amp; Sales'!BA9*(Assumptions!$B$40+Assumptions!$B$41)*(1+Assumptions!$B$37)^(BA6-1)/100000,"")</f>
        <v>0</v>
      </c>
      <c r="BB12" s="115" t="n">
        <f aca="false">IFERROR('Production &amp; Sales'!BB9*(Assumptions!$B$40+Assumptions!$B$41)*(1+Assumptions!$B$37)^(BB6-1)/100000,"")</f>
        <v>0</v>
      </c>
      <c r="BC12" s="115" t="n">
        <f aca="false">IFERROR('Production &amp; Sales'!BC9*(Assumptions!$B$40+Assumptions!$B$41)*(1+Assumptions!$B$37)^(BC6-1)/100000,"")</f>
        <v>0</v>
      </c>
      <c r="BD12" s="115" t="n">
        <f aca="false">IFERROR('Production &amp; Sales'!BD9*(Assumptions!$B$40+Assumptions!$B$41)*(1+Assumptions!$B$37)^(BD6-1)/100000,"")</f>
        <v>0</v>
      </c>
      <c r="BE12" s="115" t="n">
        <f aca="false">IFERROR('Production &amp; Sales'!BE9*(Assumptions!$B$40+Assumptions!$B$41)*(1+Assumptions!$B$37)^(BE6-1)/100000,"")</f>
        <v>0</v>
      </c>
      <c r="BF12" s="115" t="n">
        <f aca="false">IFERROR('Production &amp; Sales'!BF9*(Assumptions!$B$40+Assumptions!$B$41)*(1+Assumptions!$B$37)^(BF6-1)/100000,"")</f>
        <v>0</v>
      </c>
      <c r="BG12" s="115" t="n">
        <f aca="false">IFERROR('Production &amp; Sales'!BG9*(Assumptions!$B$40+Assumptions!$B$41)*(1+Assumptions!$B$37)^(BG6-1)/100000,"")</f>
        <v>0</v>
      </c>
      <c r="BH12" s="115" t="n">
        <f aca="false">IFERROR('Production &amp; Sales'!BH9*(Assumptions!$B$40+Assumptions!$B$41)*(1+Assumptions!$B$37)^(BH6-1)/100000,"")</f>
        <v>0</v>
      </c>
      <c r="BI12" s="115" t="n">
        <f aca="false">IFERROR('Production &amp; Sales'!BI9*(Assumptions!$B$40+Assumptions!$B$41)*(1+Assumptions!$B$37)^(BI6-1)/100000,"")</f>
        <v>0</v>
      </c>
      <c r="BJ12" s="115" t="n">
        <f aca="false">IFERROR('Production &amp; Sales'!BJ9*(Assumptions!$B$40+Assumptions!$B$41)*(1+Assumptions!$B$37)^(BJ6-1)/100000,"")</f>
        <v>0</v>
      </c>
    </row>
    <row r="13" customFormat="false" ht="15" hidden="false" customHeight="true" outlineLevel="0" collapsed="false">
      <c r="A13" s="114" t="s">
        <v>306</v>
      </c>
      <c r="B13" s="111" t="s">
        <v>289</v>
      </c>
      <c r="C13" s="115" t="n">
        <f aca="false">IFERROR(Assumptions!$B$42*(1+Assumptions!$B$36)^(C6-1),"")</f>
        <v>0</v>
      </c>
      <c r="D13" s="115" t="n">
        <f aca="false">IFERROR(Assumptions!$B$42*(1+Assumptions!$B$36)^(D6-1),"")</f>
        <v>0</v>
      </c>
      <c r="E13" s="115" t="n">
        <f aca="false">IFERROR(Assumptions!$B$42*(1+Assumptions!$B$36)^(E6-1),"")</f>
        <v>0</v>
      </c>
      <c r="F13" s="115" t="n">
        <f aca="false">IFERROR(Assumptions!$B$42*(1+Assumptions!$B$36)^(F6-1),"")</f>
        <v>0</v>
      </c>
      <c r="G13" s="115" t="n">
        <f aca="false">IFERROR(Assumptions!$B$42*(1+Assumptions!$B$36)^(G6-1),"")</f>
        <v>0</v>
      </c>
      <c r="H13" s="115" t="n">
        <f aca="false">IFERROR(Assumptions!$B$42*(1+Assumptions!$B$36)^(H6-1),"")</f>
        <v>0</v>
      </c>
      <c r="I13" s="115" t="n">
        <f aca="false">IFERROR(Assumptions!$B$42*(1+Assumptions!$B$36)^(I6-1),"")</f>
        <v>0</v>
      </c>
      <c r="J13" s="115" t="n">
        <f aca="false">IFERROR(Assumptions!$B$42*(1+Assumptions!$B$36)^(J6-1),"")</f>
        <v>0</v>
      </c>
      <c r="K13" s="115" t="n">
        <f aca="false">IFERROR(Assumptions!$B$42*(1+Assumptions!$B$36)^(K6-1),"")</f>
        <v>0</v>
      </c>
      <c r="L13" s="115" t="n">
        <f aca="false">IFERROR(Assumptions!$B$42*(1+Assumptions!$B$36)^(L6-1),"")</f>
        <v>0</v>
      </c>
      <c r="M13" s="115" t="n">
        <f aca="false">IFERROR(Assumptions!$B$42*(1+Assumptions!$B$36)^(M6-1),"")</f>
        <v>0</v>
      </c>
      <c r="N13" s="115" t="n">
        <f aca="false">IFERROR(Assumptions!$B$42*(1+Assumptions!$B$36)^(N6-1),"")</f>
        <v>0</v>
      </c>
      <c r="O13" s="115" t="n">
        <f aca="false">IFERROR(Assumptions!$B$42*(1+Assumptions!$B$36)^(O6-1),"")</f>
        <v>0</v>
      </c>
      <c r="P13" s="115" t="n">
        <f aca="false">IFERROR(Assumptions!$B$42*(1+Assumptions!$B$36)^(P6-1),"")</f>
        <v>0</v>
      </c>
      <c r="Q13" s="115" t="n">
        <f aca="false">IFERROR(Assumptions!$B$42*(1+Assumptions!$B$36)^(Q6-1),"")</f>
        <v>0</v>
      </c>
      <c r="R13" s="115" t="n">
        <f aca="false">IFERROR(Assumptions!$B$42*(1+Assumptions!$B$36)^(R6-1),"")</f>
        <v>0</v>
      </c>
      <c r="S13" s="115" t="n">
        <f aca="false">IFERROR(Assumptions!$B$42*(1+Assumptions!$B$36)^(S6-1),"")</f>
        <v>0</v>
      </c>
      <c r="T13" s="115" t="n">
        <f aca="false">IFERROR(Assumptions!$B$42*(1+Assumptions!$B$36)^(T6-1),"")</f>
        <v>0</v>
      </c>
      <c r="U13" s="115" t="n">
        <f aca="false">IFERROR(Assumptions!$B$42*(1+Assumptions!$B$36)^(U6-1),"")</f>
        <v>0</v>
      </c>
      <c r="V13" s="115" t="n">
        <f aca="false">IFERROR(Assumptions!$B$42*(1+Assumptions!$B$36)^(V6-1),"")</f>
        <v>0</v>
      </c>
      <c r="W13" s="115" t="n">
        <f aca="false">IFERROR(Assumptions!$B$42*(1+Assumptions!$B$36)^(W6-1),"")</f>
        <v>0</v>
      </c>
      <c r="X13" s="115" t="n">
        <f aca="false">IFERROR(Assumptions!$B$42*(1+Assumptions!$B$36)^(X6-1),"")</f>
        <v>0</v>
      </c>
      <c r="Y13" s="115" t="n">
        <f aca="false">IFERROR(Assumptions!$B$42*(1+Assumptions!$B$36)^(Y6-1),"")</f>
        <v>0</v>
      </c>
      <c r="Z13" s="115" t="n">
        <f aca="false">IFERROR(Assumptions!$B$42*(1+Assumptions!$B$36)^(Z6-1),"")</f>
        <v>0</v>
      </c>
      <c r="AA13" s="115" t="n">
        <f aca="false">IFERROR(Assumptions!$B$42*(1+Assumptions!$B$36)^(AA6-1),"")</f>
        <v>0</v>
      </c>
      <c r="AB13" s="115" t="n">
        <f aca="false">IFERROR(Assumptions!$B$42*(1+Assumptions!$B$36)^(AB6-1),"")</f>
        <v>0</v>
      </c>
      <c r="AC13" s="115" t="n">
        <f aca="false">IFERROR(Assumptions!$B$42*(1+Assumptions!$B$36)^(AC6-1),"")</f>
        <v>0</v>
      </c>
      <c r="AD13" s="115" t="n">
        <f aca="false">IFERROR(Assumptions!$B$42*(1+Assumptions!$B$36)^(AD6-1),"")</f>
        <v>0</v>
      </c>
      <c r="AE13" s="115" t="n">
        <f aca="false">IFERROR(Assumptions!$B$42*(1+Assumptions!$B$36)^(AE6-1),"")</f>
        <v>0</v>
      </c>
      <c r="AF13" s="115" t="n">
        <f aca="false">IFERROR(Assumptions!$B$42*(1+Assumptions!$B$36)^(AF6-1),"")</f>
        <v>0</v>
      </c>
      <c r="AG13" s="115" t="n">
        <f aca="false">IFERROR(Assumptions!$B$42*(1+Assumptions!$B$36)^(AG6-1),"")</f>
        <v>0</v>
      </c>
      <c r="AH13" s="115" t="n">
        <f aca="false">IFERROR(Assumptions!$B$42*(1+Assumptions!$B$36)^(AH6-1),"")</f>
        <v>0</v>
      </c>
      <c r="AI13" s="115" t="n">
        <f aca="false">IFERROR(Assumptions!$B$42*(1+Assumptions!$B$36)^(AI6-1),"")</f>
        <v>0</v>
      </c>
      <c r="AJ13" s="115" t="n">
        <f aca="false">IFERROR(Assumptions!$B$42*(1+Assumptions!$B$36)^(AJ6-1),"")</f>
        <v>0</v>
      </c>
      <c r="AK13" s="115" t="n">
        <f aca="false">IFERROR(Assumptions!$B$42*(1+Assumptions!$B$36)^(AK6-1),"")</f>
        <v>0</v>
      </c>
      <c r="AL13" s="115" t="n">
        <f aca="false">IFERROR(Assumptions!$B$42*(1+Assumptions!$B$36)^(AL6-1),"")</f>
        <v>0</v>
      </c>
      <c r="AM13" s="115" t="n">
        <f aca="false">IFERROR(Assumptions!$B$42*(1+Assumptions!$B$36)^(AM6-1),"")</f>
        <v>0</v>
      </c>
      <c r="AN13" s="115" t="n">
        <f aca="false">IFERROR(Assumptions!$B$42*(1+Assumptions!$B$36)^(AN6-1),"")</f>
        <v>0</v>
      </c>
      <c r="AO13" s="115" t="n">
        <f aca="false">IFERROR(Assumptions!$B$42*(1+Assumptions!$B$36)^(AO6-1),"")</f>
        <v>0</v>
      </c>
      <c r="AP13" s="115" t="n">
        <f aca="false">IFERROR(Assumptions!$B$42*(1+Assumptions!$B$36)^(AP6-1),"")</f>
        <v>0</v>
      </c>
      <c r="AQ13" s="115" t="n">
        <f aca="false">IFERROR(Assumptions!$B$42*(1+Assumptions!$B$36)^(AQ6-1),"")</f>
        <v>0</v>
      </c>
      <c r="AR13" s="115" t="n">
        <f aca="false">IFERROR(Assumptions!$B$42*(1+Assumptions!$B$36)^(AR6-1),"")</f>
        <v>0</v>
      </c>
      <c r="AS13" s="115" t="n">
        <f aca="false">IFERROR(Assumptions!$B$42*(1+Assumptions!$B$36)^(AS6-1),"")</f>
        <v>0</v>
      </c>
      <c r="AT13" s="115" t="n">
        <f aca="false">IFERROR(Assumptions!$B$42*(1+Assumptions!$B$36)^(AT6-1),"")</f>
        <v>0</v>
      </c>
      <c r="AU13" s="115" t="n">
        <f aca="false">IFERROR(Assumptions!$B$42*(1+Assumptions!$B$36)^(AU6-1),"")</f>
        <v>0</v>
      </c>
      <c r="AV13" s="115" t="n">
        <f aca="false">IFERROR(Assumptions!$B$42*(1+Assumptions!$B$36)^(AV6-1),"")</f>
        <v>0</v>
      </c>
      <c r="AW13" s="115" t="n">
        <f aca="false">IFERROR(Assumptions!$B$42*(1+Assumptions!$B$36)^(AW6-1),"")</f>
        <v>0</v>
      </c>
      <c r="AX13" s="115" t="n">
        <f aca="false">IFERROR(Assumptions!$B$42*(1+Assumptions!$B$36)^(AX6-1),"")</f>
        <v>0</v>
      </c>
      <c r="AY13" s="115" t="n">
        <f aca="false">IFERROR(Assumptions!$B$42*(1+Assumptions!$B$36)^(AY6-1),"")</f>
        <v>0</v>
      </c>
      <c r="AZ13" s="115" t="n">
        <f aca="false">IFERROR(Assumptions!$B$42*(1+Assumptions!$B$36)^(AZ6-1),"")</f>
        <v>0</v>
      </c>
      <c r="BA13" s="115" t="n">
        <f aca="false">IFERROR(Assumptions!$B$42*(1+Assumptions!$B$36)^(BA6-1),"")</f>
        <v>0</v>
      </c>
      <c r="BB13" s="115" t="n">
        <f aca="false">IFERROR(Assumptions!$B$42*(1+Assumptions!$B$36)^(BB6-1),"")</f>
        <v>0</v>
      </c>
      <c r="BC13" s="115" t="n">
        <f aca="false">IFERROR(Assumptions!$B$42*(1+Assumptions!$B$36)^(BC6-1),"")</f>
        <v>0</v>
      </c>
      <c r="BD13" s="115" t="n">
        <f aca="false">IFERROR(Assumptions!$B$42*(1+Assumptions!$B$36)^(BD6-1),"")</f>
        <v>0</v>
      </c>
      <c r="BE13" s="115" t="n">
        <f aca="false">IFERROR(Assumptions!$B$42*(1+Assumptions!$B$36)^(BE6-1),"")</f>
        <v>0</v>
      </c>
      <c r="BF13" s="115" t="n">
        <f aca="false">IFERROR(Assumptions!$B$42*(1+Assumptions!$B$36)^(BF6-1),"")</f>
        <v>0</v>
      </c>
      <c r="BG13" s="115" t="n">
        <f aca="false">IFERROR(Assumptions!$B$42*(1+Assumptions!$B$36)^(BG6-1),"")</f>
        <v>0</v>
      </c>
      <c r="BH13" s="115" t="n">
        <f aca="false">IFERROR(Assumptions!$B$42*(1+Assumptions!$B$36)^(BH6-1),"")</f>
        <v>0</v>
      </c>
      <c r="BI13" s="115" t="n">
        <f aca="false">IFERROR(Assumptions!$B$42*(1+Assumptions!$B$36)^(BI6-1),"")</f>
        <v>0</v>
      </c>
      <c r="BJ13" s="115" t="n">
        <f aca="false">IFERROR(Assumptions!$B$42*(1+Assumptions!$B$36)^(BJ6-1),"")</f>
        <v>0</v>
      </c>
    </row>
    <row r="14" customFormat="false" ht="15" hidden="false" customHeight="true" outlineLevel="0" collapsed="false">
      <c r="A14" s="112" t="s">
        <v>307</v>
      </c>
      <c r="B14" s="111" t="s">
        <v>289</v>
      </c>
      <c r="C14" s="122" t="n">
        <f aca="false">IFERROR(SUM(C10:C13),"")</f>
        <v>0</v>
      </c>
      <c r="D14" s="122" t="n">
        <f aca="false">IFERROR(SUM(D10:D13),"")</f>
        <v>0</v>
      </c>
      <c r="E14" s="122" t="n">
        <f aca="false">IFERROR(SUM(E10:E13),"")</f>
        <v>0</v>
      </c>
      <c r="F14" s="122" t="n">
        <f aca="false">IFERROR(SUM(F10:F13),"")</f>
        <v>0</v>
      </c>
      <c r="G14" s="122" t="n">
        <f aca="false">IFERROR(SUM(G10:G13),"")</f>
        <v>0</v>
      </c>
      <c r="H14" s="122" t="n">
        <f aca="false">IFERROR(SUM(H10:H13),"")</f>
        <v>0</v>
      </c>
      <c r="I14" s="122" t="n">
        <f aca="false">IFERROR(SUM(I10:I13),"")</f>
        <v>0</v>
      </c>
      <c r="J14" s="122" t="n">
        <f aca="false">IFERROR(SUM(J10:J13),"")</f>
        <v>0</v>
      </c>
      <c r="K14" s="122" t="n">
        <f aca="false">IFERROR(SUM(K10:K13),"")</f>
        <v>0</v>
      </c>
      <c r="L14" s="122" t="n">
        <f aca="false">IFERROR(SUM(L10:L13),"")</f>
        <v>0</v>
      </c>
      <c r="M14" s="122" t="n">
        <f aca="false">IFERROR(SUM(M10:M13),"")</f>
        <v>0</v>
      </c>
      <c r="N14" s="122" t="n">
        <f aca="false">IFERROR(SUM(N10:N13),"")</f>
        <v>0</v>
      </c>
      <c r="O14" s="122" t="n">
        <f aca="false">IFERROR(SUM(O10:O13),"")</f>
        <v>0</v>
      </c>
      <c r="P14" s="122" t="n">
        <f aca="false">IFERROR(SUM(P10:P13),"")</f>
        <v>0</v>
      </c>
      <c r="Q14" s="122" t="n">
        <f aca="false">IFERROR(SUM(Q10:Q13),"")</f>
        <v>0</v>
      </c>
      <c r="R14" s="122" t="n">
        <f aca="false">IFERROR(SUM(R10:R13),"")</f>
        <v>0</v>
      </c>
      <c r="S14" s="122" t="n">
        <f aca="false">IFERROR(SUM(S10:S13),"")</f>
        <v>0</v>
      </c>
      <c r="T14" s="122" t="n">
        <f aca="false">IFERROR(SUM(T10:T13),"")</f>
        <v>0</v>
      </c>
      <c r="U14" s="122" t="n">
        <f aca="false">IFERROR(SUM(U10:U13),"")</f>
        <v>0</v>
      </c>
      <c r="V14" s="122" t="n">
        <f aca="false">IFERROR(SUM(V10:V13),"")</f>
        <v>0</v>
      </c>
      <c r="W14" s="122" t="n">
        <f aca="false">IFERROR(SUM(W10:W13),"")</f>
        <v>0</v>
      </c>
      <c r="X14" s="122" t="n">
        <f aca="false">IFERROR(SUM(X10:X13),"")</f>
        <v>0</v>
      </c>
      <c r="Y14" s="122" t="n">
        <f aca="false">IFERROR(SUM(Y10:Y13),"")</f>
        <v>0</v>
      </c>
      <c r="Z14" s="122" t="n">
        <f aca="false">IFERROR(SUM(Z10:Z13),"")</f>
        <v>0</v>
      </c>
      <c r="AA14" s="122" t="n">
        <f aca="false">IFERROR(SUM(AA10:AA13),"")</f>
        <v>0</v>
      </c>
      <c r="AB14" s="122" t="n">
        <f aca="false">IFERROR(SUM(AB10:AB13),"")</f>
        <v>0</v>
      </c>
      <c r="AC14" s="122" t="n">
        <f aca="false">IFERROR(SUM(AC10:AC13),"")</f>
        <v>0</v>
      </c>
      <c r="AD14" s="122" t="n">
        <f aca="false">IFERROR(SUM(AD10:AD13),"")</f>
        <v>0</v>
      </c>
      <c r="AE14" s="122" t="n">
        <f aca="false">IFERROR(SUM(AE10:AE13),"")</f>
        <v>0</v>
      </c>
      <c r="AF14" s="122" t="n">
        <f aca="false">IFERROR(SUM(AF10:AF13),"")</f>
        <v>0</v>
      </c>
      <c r="AG14" s="122" t="n">
        <f aca="false">IFERROR(SUM(AG10:AG13),"")</f>
        <v>0</v>
      </c>
      <c r="AH14" s="122" t="n">
        <f aca="false">IFERROR(SUM(AH10:AH13),"")</f>
        <v>0</v>
      </c>
      <c r="AI14" s="122" t="n">
        <f aca="false">IFERROR(SUM(AI10:AI13),"")</f>
        <v>0</v>
      </c>
      <c r="AJ14" s="122" t="n">
        <f aca="false">IFERROR(SUM(AJ10:AJ13),"")</f>
        <v>0</v>
      </c>
      <c r="AK14" s="122" t="n">
        <f aca="false">IFERROR(SUM(AK10:AK13),"")</f>
        <v>0</v>
      </c>
      <c r="AL14" s="122" t="n">
        <f aca="false">IFERROR(SUM(AL10:AL13),"")</f>
        <v>0</v>
      </c>
      <c r="AM14" s="122" t="n">
        <f aca="false">IFERROR(SUM(AM10:AM13),"")</f>
        <v>0</v>
      </c>
      <c r="AN14" s="122" t="n">
        <f aca="false">IFERROR(SUM(AN10:AN13),"")</f>
        <v>0</v>
      </c>
      <c r="AO14" s="122" t="n">
        <f aca="false">IFERROR(SUM(AO10:AO13),"")</f>
        <v>0</v>
      </c>
      <c r="AP14" s="122" t="n">
        <f aca="false">IFERROR(SUM(AP10:AP13),"")</f>
        <v>0</v>
      </c>
      <c r="AQ14" s="122" t="n">
        <f aca="false">IFERROR(SUM(AQ10:AQ13),"")</f>
        <v>0</v>
      </c>
      <c r="AR14" s="122" t="n">
        <f aca="false">IFERROR(SUM(AR10:AR13),"")</f>
        <v>0</v>
      </c>
      <c r="AS14" s="122" t="n">
        <f aca="false">IFERROR(SUM(AS10:AS13),"")</f>
        <v>0</v>
      </c>
      <c r="AT14" s="122" t="n">
        <f aca="false">IFERROR(SUM(AT10:AT13),"")</f>
        <v>0</v>
      </c>
      <c r="AU14" s="122" t="n">
        <f aca="false">IFERROR(SUM(AU10:AU13),"")</f>
        <v>0</v>
      </c>
      <c r="AV14" s="122" t="n">
        <f aca="false">IFERROR(SUM(AV10:AV13),"")</f>
        <v>0</v>
      </c>
      <c r="AW14" s="122" t="n">
        <f aca="false">IFERROR(SUM(AW10:AW13),"")</f>
        <v>0</v>
      </c>
      <c r="AX14" s="122" t="n">
        <f aca="false">IFERROR(SUM(AX10:AX13),"")</f>
        <v>0</v>
      </c>
      <c r="AY14" s="122" t="n">
        <f aca="false">IFERROR(SUM(AY10:AY13),"")</f>
        <v>0</v>
      </c>
      <c r="AZ14" s="122" t="n">
        <f aca="false">IFERROR(SUM(AZ10:AZ13),"")</f>
        <v>0</v>
      </c>
      <c r="BA14" s="122" t="n">
        <f aca="false">IFERROR(SUM(BA10:BA13),"")</f>
        <v>0</v>
      </c>
      <c r="BB14" s="122" t="n">
        <f aca="false">IFERROR(SUM(BB10:BB13),"")</f>
        <v>0</v>
      </c>
      <c r="BC14" s="122" t="n">
        <f aca="false">IFERROR(SUM(BC10:BC13),"")</f>
        <v>0</v>
      </c>
      <c r="BD14" s="122" t="n">
        <f aca="false">IFERROR(SUM(BD10:BD13),"")</f>
        <v>0</v>
      </c>
      <c r="BE14" s="122" t="n">
        <f aca="false">IFERROR(SUM(BE10:BE13),"")</f>
        <v>0</v>
      </c>
      <c r="BF14" s="122" t="n">
        <f aca="false">IFERROR(SUM(BF10:BF13),"")</f>
        <v>0</v>
      </c>
      <c r="BG14" s="122" t="n">
        <f aca="false">IFERROR(SUM(BG10:BG13),"")</f>
        <v>0</v>
      </c>
      <c r="BH14" s="122" t="n">
        <f aca="false">IFERROR(SUM(BH10:BH13),"")</f>
        <v>0</v>
      </c>
      <c r="BI14" s="122" t="n">
        <f aca="false">IFERROR(SUM(BI10:BI13),"")</f>
        <v>0</v>
      </c>
      <c r="BJ14" s="122" t="n">
        <f aca="false">IFERROR(SUM(BJ10:BJ13),"")</f>
        <v>0</v>
      </c>
    </row>
    <row r="15" customFormat="false" ht="15" hidden="false" customHeight="true" outlineLevel="0" collapsed="false">
      <c r="A15" s="112" t="s">
        <v>308</v>
      </c>
      <c r="B15" s="111" t="s">
        <v>289</v>
      </c>
      <c r="C15" s="122" t="n">
        <f aca="false">IFERROR(C8-C14,"")</f>
        <v>0</v>
      </c>
      <c r="D15" s="122" t="n">
        <f aca="false">IFERROR(D8-D14,"")</f>
        <v>0</v>
      </c>
      <c r="E15" s="122" t="n">
        <f aca="false">IFERROR(E8-E14,"")</f>
        <v>0</v>
      </c>
      <c r="F15" s="122" t="n">
        <f aca="false">IFERROR(F8-F14,"")</f>
        <v>0</v>
      </c>
      <c r="G15" s="122" t="n">
        <f aca="false">IFERROR(G8-G14,"")</f>
        <v>0</v>
      </c>
      <c r="H15" s="122" t="n">
        <f aca="false">IFERROR(H8-H14,"")</f>
        <v>0</v>
      </c>
      <c r="I15" s="122" t="n">
        <f aca="false">IFERROR(I8-I14,"")</f>
        <v>0</v>
      </c>
      <c r="J15" s="122" t="n">
        <f aca="false">IFERROR(J8-J14,"")</f>
        <v>0</v>
      </c>
      <c r="K15" s="122" t="n">
        <f aca="false">IFERROR(K8-K14,"")</f>
        <v>0</v>
      </c>
      <c r="L15" s="122" t="n">
        <f aca="false">IFERROR(L8-L14,"")</f>
        <v>0</v>
      </c>
      <c r="M15" s="122" t="n">
        <f aca="false">IFERROR(M8-M14,"")</f>
        <v>0</v>
      </c>
      <c r="N15" s="122" t="n">
        <f aca="false">IFERROR(N8-N14,"")</f>
        <v>0</v>
      </c>
      <c r="O15" s="122" t="n">
        <f aca="false">IFERROR(O8-O14,"")</f>
        <v>0</v>
      </c>
      <c r="P15" s="122" t="n">
        <f aca="false">IFERROR(P8-P14,"")</f>
        <v>0</v>
      </c>
      <c r="Q15" s="122" t="n">
        <f aca="false">IFERROR(Q8-Q14,"")</f>
        <v>0</v>
      </c>
      <c r="R15" s="122" t="n">
        <f aca="false">IFERROR(R8-R14,"")</f>
        <v>0</v>
      </c>
      <c r="S15" s="122" t="n">
        <f aca="false">IFERROR(S8-S14,"")</f>
        <v>0</v>
      </c>
      <c r="T15" s="122" t="n">
        <f aca="false">IFERROR(T8-T14,"")</f>
        <v>0</v>
      </c>
      <c r="U15" s="122" t="n">
        <f aca="false">IFERROR(U8-U14,"")</f>
        <v>0</v>
      </c>
      <c r="V15" s="122" t="n">
        <f aca="false">IFERROR(V8-V14,"")</f>
        <v>0</v>
      </c>
      <c r="W15" s="122" t="n">
        <f aca="false">IFERROR(W8-W14,"")</f>
        <v>0</v>
      </c>
      <c r="X15" s="122" t="n">
        <f aca="false">IFERROR(X8-X14,"")</f>
        <v>0</v>
      </c>
      <c r="Y15" s="122" t="n">
        <f aca="false">IFERROR(Y8-Y14,"")</f>
        <v>0</v>
      </c>
      <c r="Z15" s="122" t="n">
        <f aca="false">IFERROR(Z8-Z14,"")</f>
        <v>0</v>
      </c>
      <c r="AA15" s="122" t="n">
        <f aca="false">IFERROR(AA8-AA14,"")</f>
        <v>0</v>
      </c>
      <c r="AB15" s="122" t="n">
        <f aca="false">IFERROR(AB8-AB14,"")</f>
        <v>0</v>
      </c>
      <c r="AC15" s="122" t="n">
        <f aca="false">IFERROR(AC8-AC14,"")</f>
        <v>0</v>
      </c>
      <c r="AD15" s="122" t="n">
        <f aca="false">IFERROR(AD8-AD14,"")</f>
        <v>0</v>
      </c>
      <c r="AE15" s="122" t="n">
        <f aca="false">IFERROR(AE8-AE14,"")</f>
        <v>0</v>
      </c>
      <c r="AF15" s="122" t="n">
        <f aca="false">IFERROR(AF8-AF14,"")</f>
        <v>0</v>
      </c>
      <c r="AG15" s="122" t="n">
        <f aca="false">IFERROR(AG8-AG14,"")</f>
        <v>0</v>
      </c>
      <c r="AH15" s="122" t="n">
        <f aca="false">IFERROR(AH8-AH14,"")</f>
        <v>0</v>
      </c>
      <c r="AI15" s="122" t="n">
        <f aca="false">IFERROR(AI8-AI14,"")</f>
        <v>0</v>
      </c>
      <c r="AJ15" s="122" t="n">
        <f aca="false">IFERROR(AJ8-AJ14,"")</f>
        <v>0</v>
      </c>
      <c r="AK15" s="122" t="n">
        <f aca="false">IFERROR(AK8-AK14,"")</f>
        <v>0</v>
      </c>
      <c r="AL15" s="122" t="n">
        <f aca="false">IFERROR(AL8-AL14,"")</f>
        <v>0</v>
      </c>
      <c r="AM15" s="122" t="n">
        <f aca="false">IFERROR(AM8-AM14,"")</f>
        <v>0</v>
      </c>
      <c r="AN15" s="122" t="n">
        <f aca="false">IFERROR(AN8-AN14,"")</f>
        <v>0</v>
      </c>
      <c r="AO15" s="122" t="n">
        <f aca="false">IFERROR(AO8-AO14,"")</f>
        <v>0</v>
      </c>
      <c r="AP15" s="122" t="n">
        <f aca="false">IFERROR(AP8-AP14,"")</f>
        <v>0</v>
      </c>
      <c r="AQ15" s="122" t="n">
        <f aca="false">IFERROR(AQ8-AQ14,"")</f>
        <v>0</v>
      </c>
      <c r="AR15" s="122" t="n">
        <f aca="false">IFERROR(AR8-AR14,"")</f>
        <v>0</v>
      </c>
      <c r="AS15" s="122" t="n">
        <f aca="false">IFERROR(AS8-AS14,"")</f>
        <v>0</v>
      </c>
      <c r="AT15" s="122" t="n">
        <f aca="false">IFERROR(AT8-AT14,"")</f>
        <v>0</v>
      </c>
      <c r="AU15" s="122" t="n">
        <f aca="false">IFERROR(AU8-AU14,"")</f>
        <v>0</v>
      </c>
      <c r="AV15" s="122" t="n">
        <f aca="false">IFERROR(AV8-AV14,"")</f>
        <v>0</v>
      </c>
      <c r="AW15" s="122" t="n">
        <f aca="false">IFERROR(AW8-AW14,"")</f>
        <v>0</v>
      </c>
      <c r="AX15" s="122" t="n">
        <f aca="false">IFERROR(AX8-AX14,"")</f>
        <v>0</v>
      </c>
      <c r="AY15" s="122" t="n">
        <f aca="false">IFERROR(AY8-AY14,"")</f>
        <v>0</v>
      </c>
      <c r="AZ15" s="122" t="n">
        <f aca="false">IFERROR(AZ8-AZ14,"")</f>
        <v>0</v>
      </c>
      <c r="BA15" s="122" t="n">
        <f aca="false">IFERROR(BA8-BA14,"")</f>
        <v>0</v>
      </c>
      <c r="BB15" s="122" t="n">
        <f aca="false">IFERROR(BB8-BB14,"")</f>
        <v>0</v>
      </c>
      <c r="BC15" s="122" t="n">
        <f aca="false">IFERROR(BC8-BC14,"")</f>
        <v>0</v>
      </c>
      <c r="BD15" s="122" t="n">
        <f aca="false">IFERROR(BD8-BD14,"")</f>
        <v>0</v>
      </c>
      <c r="BE15" s="122" t="n">
        <f aca="false">IFERROR(BE8-BE14,"")</f>
        <v>0</v>
      </c>
      <c r="BF15" s="122" t="n">
        <f aca="false">IFERROR(BF8-BF14,"")</f>
        <v>0</v>
      </c>
      <c r="BG15" s="122" t="n">
        <f aca="false">IFERROR(BG8-BG14,"")</f>
        <v>0</v>
      </c>
      <c r="BH15" s="122" t="n">
        <f aca="false">IFERROR(BH8-BH14,"")</f>
        <v>0</v>
      </c>
      <c r="BI15" s="122" t="n">
        <f aca="false">IFERROR(BI8-BI14,"")</f>
        <v>0</v>
      </c>
      <c r="BJ15" s="122" t="n">
        <f aca="false">IFERROR(BJ8-BJ14,"")</f>
        <v>0</v>
      </c>
    </row>
    <row r="16" customFormat="false" ht="15" hidden="false" customHeight="true" outlineLevel="0" collapsed="false">
      <c r="A16" s="114" t="s">
        <v>309</v>
      </c>
      <c r="B16" s="111" t="s">
        <v>112</v>
      </c>
      <c r="C16" s="116" t="n">
        <f aca="false">IFERROR(IF(C8=0,0,C15/C8),"")</f>
        <v>0</v>
      </c>
      <c r="D16" s="116" t="n">
        <f aca="false">IFERROR(IF(D8=0,0,D15/D8),"")</f>
        <v>0</v>
      </c>
      <c r="E16" s="116" t="n">
        <f aca="false">IFERROR(IF(E8=0,0,E15/E8),"")</f>
        <v>0</v>
      </c>
      <c r="F16" s="116" t="n">
        <f aca="false">IFERROR(IF(F8=0,0,F15/F8),"")</f>
        <v>0</v>
      </c>
      <c r="G16" s="116" t="n">
        <f aca="false">IFERROR(IF(G8=0,0,G15/G8),"")</f>
        <v>0</v>
      </c>
      <c r="H16" s="116" t="n">
        <f aca="false">IFERROR(IF(H8=0,0,H15/H8),"")</f>
        <v>0</v>
      </c>
      <c r="I16" s="116" t="n">
        <f aca="false">IFERROR(IF(I8=0,0,I15/I8),"")</f>
        <v>0</v>
      </c>
      <c r="J16" s="116" t="n">
        <f aca="false">IFERROR(IF(J8=0,0,J15/J8),"")</f>
        <v>0</v>
      </c>
      <c r="K16" s="116" t="n">
        <f aca="false">IFERROR(IF(K8=0,0,K15/K8),"")</f>
        <v>0</v>
      </c>
      <c r="L16" s="116" t="n">
        <f aca="false">IFERROR(IF(L8=0,0,L15/L8),"")</f>
        <v>0</v>
      </c>
      <c r="M16" s="116" t="n">
        <f aca="false">IFERROR(IF(M8=0,0,M15/M8),"")</f>
        <v>0</v>
      </c>
      <c r="N16" s="116" t="n">
        <f aca="false">IFERROR(IF(N8=0,0,N15/N8),"")</f>
        <v>0</v>
      </c>
      <c r="O16" s="116" t="n">
        <f aca="false">IFERROR(IF(O8=0,0,O15/O8),"")</f>
        <v>0</v>
      </c>
      <c r="P16" s="116" t="n">
        <f aca="false">IFERROR(IF(P8=0,0,P15/P8),"")</f>
        <v>0</v>
      </c>
      <c r="Q16" s="116" t="n">
        <f aca="false">IFERROR(IF(Q8=0,0,Q15/Q8),"")</f>
        <v>0</v>
      </c>
      <c r="R16" s="116" t="n">
        <f aca="false">IFERROR(IF(R8=0,0,R15/R8),"")</f>
        <v>0</v>
      </c>
      <c r="S16" s="116" t="n">
        <f aca="false">IFERROR(IF(S8=0,0,S15/S8),"")</f>
        <v>0</v>
      </c>
      <c r="T16" s="116" t="n">
        <f aca="false">IFERROR(IF(T8=0,0,T15/T8),"")</f>
        <v>0</v>
      </c>
      <c r="U16" s="116" t="n">
        <f aca="false">IFERROR(IF(U8=0,0,U15/U8),"")</f>
        <v>0</v>
      </c>
      <c r="V16" s="116" t="n">
        <f aca="false">IFERROR(IF(V8=0,0,V15/V8),"")</f>
        <v>0</v>
      </c>
      <c r="W16" s="116" t="n">
        <f aca="false">IFERROR(IF(W8=0,0,W15/W8),"")</f>
        <v>0</v>
      </c>
      <c r="X16" s="116" t="n">
        <f aca="false">IFERROR(IF(X8=0,0,X15/X8),"")</f>
        <v>0</v>
      </c>
      <c r="Y16" s="116" t="n">
        <f aca="false">IFERROR(IF(Y8=0,0,Y15/Y8),"")</f>
        <v>0</v>
      </c>
      <c r="Z16" s="116" t="n">
        <f aca="false">IFERROR(IF(Z8=0,0,Z15/Z8),"")</f>
        <v>0</v>
      </c>
      <c r="AA16" s="116" t="n">
        <f aca="false">IFERROR(IF(AA8=0,0,AA15/AA8),"")</f>
        <v>0</v>
      </c>
      <c r="AB16" s="116" t="n">
        <f aca="false">IFERROR(IF(AB8=0,0,AB15/AB8),"")</f>
        <v>0</v>
      </c>
      <c r="AC16" s="116" t="n">
        <f aca="false">IFERROR(IF(AC8=0,0,AC15/AC8),"")</f>
        <v>0</v>
      </c>
      <c r="AD16" s="116" t="n">
        <f aca="false">IFERROR(IF(AD8=0,0,AD15/AD8),"")</f>
        <v>0</v>
      </c>
      <c r="AE16" s="116" t="n">
        <f aca="false">IFERROR(IF(AE8=0,0,AE15/AE8),"")</f>
        <v>0</v>
      </c>
      <c r="AF16" s="116" t="n">
        <f aca="false">IFERROR(IF(AF8=0,0,AF15/AF8),"")</f>
        <v>0</v>
      </c>
      <c r="AG16" s="116" t="n">
        <f aca="false">IFERROR(IF(AG8=0,0,AG15/AG8),"")</f>
        <v>0</v>
      </c>
      <c r="AH16" s="116" t="n">
        <f aca="false">IFERROR(IF(AH8=0,0,AH15/AH8),"")</f>
        <v>0</v>
      </c>
      <c r="AI16" s="116" t="n">
        <f aca="false">IFERROR(IF(AI8=0,0,AI15/AI8),"")</f>
        <v>0</v>
      </c>
      <c r="AJ16" s="116" t="n">
        <f aca="false">IFERROR(IF(AJ8=0,0,AJ15/AJ8),"")</f>
        <v>0</v>
      </c>
      <c r="AK16" s="116" t="n">
        <f aca="false">IFERROR(IF(AK8=0,0,AK15/AK8),"")</f>
        <v>0</v>
      </c>
      <c r="AL16" s="116" t="n">
        <f aca="false">IFERROR(IF(AL8=0,0,AL15/AL8),"")</f>
        <v>0</v>
      </c>
      <c r="AM16" s="116" t="n">
        <f aca="false">IFERROR(IF(AM8=0,0,AM15/AM8),"")</f>
        <v>0</v>
      </c>
      <c r="AN16" s="116" t="n">
        <f aca="false">IFERROR(IF(AN8=0,0,AN15/AN8),"")</f>
        <v>0</v>
      </c>
      <c r="AO16" s="116" t="n">
        <f aca="false">IFERROR(IF(AO8=0,0,AO15/AO8),"")</f>
        <v>0</v>
      </c>
      <c r="AP16" s="116" t="n">
        <f aca="false">IFERROR(IF(AP8=0,0,AP15/AP8),"")</f>
        <v>0</v>
      </c>
      <c r="AQ16" s="116" t="n">
        <f aca="false">IFERROR(IF(AQ8=0,0,AQ15/AQ8),"")</f>
        <v>0</v>
      </c>
      <c r="AR16" s="116" t="n">
        <f aca="false">IFERROR(IF(AR8=0,0,AR15/AR8),"")</f>
        <v>0</v>
      </c>
      <c r="AS16" s="116" t="n">
        <f aca="false">IFERROR(IF(AS8=0,0,AS15/AS8),"")</f>
        <v>0</v>
      </c>
      <c r="AT16" s="116" t="n">
        <f aca="false">IFERROR(IF(AT8=0,0,AT15/AT8),"")</f>
        <v>0</v>
      </c>
      <c r="AU16" s="116" t="n">
        <f aca="false">IFERROR(IF(AU8=0,0,AU15/AU8),"")</f>
        <v>0</v>
      </c>
      <c r="AV16" s="116" t="n">
        <f aca="false">IFERROR(IF(AV8=0,0,AV15/AV8),"")</f>
        <v>0</v>
      </c>
      <c r="AW16" s="116" t="n">
        <f aca="false">IFERROR(IF(AW8=0,0,AW15/AW8),"")</f>
        <v>0</v>
      </c>
      <c r="AX16" s="116" t="n">
        <f aca="false">IFERROR(IF(AX8=0,0,AX15/AX8),"")</f>
        <v>0</v>
      </c>
      <c r="AY16" s="116" t="n">
        <f aca="false">IFERROR(IF(AY8=0,0,AY15/AY8),"")</f>
        <v>0</v>
      </c>
      <c r="AZ16" s="116" t="n">
        <f aca="false">IFERROR(IF(AZ8=0,0,AZ15/AZ8),"")</f>
        <v>0</v>
      </c>
      <c r="BA16" s="116" t="n">
        <f aca="false">IFERROR(IF(BA8=0,0,BA15/BA8),"")</f>
        <v>0</v>
      </c>
      <c r="BB16" s="116" t="n">
        <f aca="false">IFERROR(IF(BB8=0,0,BB15/BB8),"")</f>
        <v>0</v>
      </c>
      <c r="BC16" s="116" t="n">
        <f aca="false">IFERROR(IF(BC8=0,0,BC15/BC8),"")</f>
        <v>0</v>
      </c>
      <c r="BD16" s="116" t="n">
        <f aca="false">IFERROR(IF(BD8=0,0,BD15/BD8),"")</f>
        <v>0</v>
      </c>
      <c r="BE16" s="116" t="n">
        <f aca="false">IFERROR(IF(BE8=0,0,BE15/BE8),"")</f>
        <v>0</v>
      </c>
      <c r="BF16" s="116" t="n">
        <f aca="false">IFERROR(IF(BF8=0,0,BF15/BF8),"")</f>
        <v>0</v>
      </c>
      <c r="BG16" s="116" t="n">
        <f aca="false">IFERROR(IF(BG8=0,0,BG15/BG8),"")</f>
        <v>0</v>
      </c>
      <c r="BH16" s="116" t="n">
        <f aca="false">IFERROR(IF(BH8=0,0,BH15/BH8),"")</f>
        <v>0</v>
      </c>
      <c r="BI16" s="116" t="n">
        <f aca="false">IFERROR(IF(BI8=0,0,BI15/BI8),"")</f>
        <v>0</v>
      </c>
      <c r="BJ16" s="116" t="n">
        <f aca="false">IFERROR(IF(BJ8=0,0,BJ15/BJ8),"")</f>
        <v>0</v>
      </c>
    </row>
    <row r="17" customFormat="false" ht="15" hidden="false" customHeight="true" outlineLevel="0" collapsed="false">
      <c r="A17" s="120" t="s">
        <v>310</v>
      </c>
      <c r="B17" s="121"/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</row>
    <row r="18" customFormat="false" ht="15" hidden="false" customHeight="true" outlineLevel="0" collapsed="false">
      <c r="A18" s="114" t="s">
        <v>153</v>
      </c>
      <c r="B18" s="111" t="s">
        <v>289</v>
      </c>
      <c r="C18" s="115" t="n">
        <f aca="false">IFERROR(Assumptions!$B$44*(1+Assumptions!$B$36)^(C6-1),"")</f>
        <v>0</v>
      </c>
      <c r="D18" s="115" t="n">
        <f aca="false">IFERROR(Assumptions!$B$44*(1+Assumptions!$B$36)^(D6-1),"")</f>
        <v>0</v>
      </c>
      <c r="E18" s="115" t="n">
        <f aca="false">IFERROR(Assumptions!$B$44*(1+Assumptions!$B$36)^(E6-1),"")</f>
        <v>0</v>
      </c>
      <c r="F18" s="115" t="n">
        <f aca="false">IFERROR(Assumptions!$B$44*(1+Assumptions!$B$36)^(F6-1),"")</f>
        <v>0</v>
      </c>
      <c r="G18" s="115" t="n">
        <f aca="false">IFERROR(Assumptions!$B$44*(1+Assumptions!$B$36)^(G6-1),"")</f>
        <v>0</v>
      </c>
      <c r="H18" s="115" t="n">
        <f aca="false">IFERROR(Assumptions!$B$44*(1+Assumptions!$B$36)^(H6-1),"")</f>
        <v>0</v>
      </c>
      <c r="I18" s="115" t="n">
        <f aca="false">IFERROR(Assumptions!$B$44*(1+Assumptions!$B$36)^(I6-1),"")</f>
        <v>0</v>
      </c>
      <c r="J18" s="115" t="n">
        <f aca="false">IFERROR(Assumptions!$B$44*(1+Assumptions!$B$36)^(J6-1),"")</f>
        <v>0</v>
      </c>
      <c r="K18" s="115" t="n">
        <f aca="false">IFERROR(Assumptions!$B$44*(1+Assumptions!$B$36)^(K6-1),"")</f>
        <v>0</v>
      </c>
      <c r="L18" s="115" t="n">
        <f aca="false">IFERROR(Assumptions!$B$44*(1+Assumptions!$B$36)^(L6-1),"")</f>
        <v>0</v>
      </c>
      <c r="M18" s="115" t="n">
        <f aca="false">IFERROR(Assumptions!$B$44*(1+Assumptions!$B$36)^(M6-1),"")</f>
        <v>0</v>
      </c>
      <c r="N18" s="115" t="n">
        <f aca="false">IFERROR(Assumptions!$B$44*(1+Assumptions!$B$36)^(N6-1),"")</f>
        <v>0</v>
      </c>
      <c r="O18" s="115" t="n">
        <f aca="false">IFERROR(Assumptions!$B$44*(1+Assumptions!$B$36)^(O6-1),"")</f>
        <v>0</v>
      </c>
      <c r="P18" s="115" t="n">
        <f aca="false">IFERROR(Assumptions!$B$44*(1+Assumptions!$B$36)^(P6-1),"")</f>
        <v>0</v>
      </c>
      <c r="Q18" s="115" t="n">
        <f aca="false">IFERROR(Assumptions!$B$44*(1+Assumptions!$B$36)^(Q6-1),"")</f>
        <v>0</v>
      </c>
      <c r="R18" s="115" t="n">
        <f aca="false">IFERROR(Assumptions!$B$44*(1+Assumptions!$B$36)^(R6-1),"")</f>
        <v>0</v>
      </c>
      <c r="S18" s="115" t="n">
        <f aca="false">IFERROR(Assumptions!$B$44*(1+Assumptions!$B$36)^(S6-1),"")</f>
        <v>0</v>
      </c>
      <c r="T18" s="115" t="n">
        <f aca="false">IFERROR(Assumptions!$B$44*(1+Assumptions!$B$36)^(T6-1),"")</f>
        <v>0</v>
      </c>
      <c r="U18" s="115" t="n">
        <f aca="false">IFERROR(Assumptions!$B$44*(1+Assumptions!$B$36)^(U6-1),"")</f>
        <v>0</v>
      </c>
      <c r="V18" s="115" t="n">
        <f aca="false">IFERROR(Assumptions!$B$44*(1+Assumptions!$B$36)^(V6-1),"")</f>
        <v>0</v>
      </c>
      <c r="W18" s="115" t="n">
        <f aca="false">IFERROR(Assumptions!$B$44*(1+Assumptions!$B$36)^(W6-1),"")</f>
        <v>0</v>
      </c>
      <c r="X18" s="115" t="n">
        <f aca="false">IFERROR(Assumptions!$B$44*(1+Assumptions!$B$36)^(X6-1),"")</f>
        <v>0</v>
      </c>
      <c r="Y18" s="115" t="n">
        <f aca="false">IFERROR(Assumptions!$B$44*(1+Assumptions!$B$36)^(Y6-1),"")</f>
        <v>0</v>
      </c>
      <c r="Z18" s="115" t="n">
        <f aca="false">IFERROR(Assumptions!$B$44*(1+Assumptions!$B$36)^(Z6-1),"")</f>
        <v>0</v>
      </c>
      <c r="AA18" s="115" t="n">
        <f aca="false">IFERROR(Assumptions!$B$44*(1+Assumptions!$B$36)^(AA6-1),"")</f>
        <v>0</v>
      </c>
      <c r="AB18" s="115" t="n">
        <f aca="false">IFERROR(Assumptions!$B$44*(1+Assumptions!$B$36)^(AB6-1),"")</f>
        <v>0</v>
      </c>
      <c r="AC18" s="115" t="n">
        <f aca="false">IFERROR(Assumptions!$B$44*(1+Assumptions!$B$36)^(AC6-1),"")</f>
        <v>0</v>
      </c>
      <c r="AD18" s="115" t="n">
        <f aca="false">IFERROR(Assumptions!$B$44*(1+Assumptions!$B$36)^(AD6-1),"")</f>
        <v>0</v>
      </c>
      <c r="AE18" s="115" t="n">
        <f aca="false">IFERROR(Assumptions!$B$44*(1+Assumptions!$B$36)^(AE6-1),"")</f>
        <v>0</v>
      </c>
      <c r="AF18" s="115" t="n">
        <f aca="false">IFERROR(Assumptions!$B$44*(1+Assumptions!$B$36)^(AF6-1),"")</f>
        <v>0</v>
      </c>
      <c r="AG18" s="115" t="n">
        <f aca="false">IFERROR(Assumptions!$B$44*(1+Assumptions!$B$36)^(AG6-1),"")</f>
        <v>0</v>
      </c>
      <c r="AH18" s="115" t="n">
        <f aca="false">IFERROR(Assumptions!$B$44*(1+Assumptions!$B$36)^(AH6-1),"")</f>
        <v>0</v>
      </c>
      <c r="AI18" s="115" t="n">
        <f aca="false">IFERROR(Assumptions!$B$44*(1+Assumptions!$B$36)^(AI6-1),"")</f>
        <v>0</v>
      </c>
      <c r="AJ18" s="115" t="n">
        <f aca="false">IFERROR(Assumptions!$B$44*(1+Assumptions!$B$36)^(AJ6-1),"")</f>
        <v>0</v>
      </c>
      <c r="AK18" s="115" t="n">
        <f aca="false">IFERROR(Assumptions!$B$44*(1+Assumptions!$B$36)^(AK6-1),"")</f>
        <v>0</v>
      </c>
      <c r="AL18" s="115" t="n">
        <f aca="false">IFERROR(Assumptions!$B$44*(1+Assumptions!$B$36)^(AL6-1),"")</f>
        <v>0</v>
      </c>
      <c r="AM18" s="115" t="n">
        <f aca="false">IFERROR(Assumptions!$B$44*(1+Assumptions!$B$36)^(AM6-1),"")</f>
        <v>0</v>
      </c>
      <c r="AN18" s="115" t="n">
        <f aca="false">IFERROR(Assumptions!$B$44*(1+Assumptions!$B$36)^(AN6-1),"")</f>
        <v>0</v>
      </c>
      <c r="AO18" s="115" t="n">
        <f aca="false">IFERROR(Assumptions!$B$44*(1+Assumptions!$B$36)^(AO6-1),"")</f>
        <v>0</v>
      </c>
      <c r="AP18" s="115" t="n">
        <f aca="false">IFERROR(Assumptions!$B$44*(1+Assumptions!$B$36)^(AP6-1),"")</f>
        <v>0</v>
      </c>
      <c r="AQ18" s="115" t="n">
        <f aca="false">IFERROR(Assumptions!$B$44*(1+Assumptions!$B$36)^(AQ6-1),"")</f>
        <v>0</v>
      </c>
      <c r="AR18" s="115" t="n">
        <f aca="false">IFERROR(Assumptions!$B$44*(1+Assumptions!$B$36)^(AR6-1),"")</f>
        <v>0</v>
      </c>
      <c r="AS18" s="115" t="n">
        <f aca="false">IFERROR(Assumptions!$B$44*(1+Assumptions!$B$36)^(AS6-1),"")</f>
        <v>0</v>
      </c>
      <c r="AT18" s="115" t="n">
        <f aca="false">IFERROR(Assumptions!$B$44*(1+Assumptions!$B$36)^(AT6-1),"")</f>
        <v>0</v>
      </c>
      <c r="AU18" s="115" t="n">
        <f aca="false">IFERROR(Assumptions!$B$44*(1+Assumptions!$B$36)^(AU6-1),"")</f>
        <v>0</v>
      </c>
      <c r="AV18" s="115" t="n">
        <f aca="false">IFERROR(Assumptions!$B$44*(1+Assumptions!$B$36)^(AV6-1),"")</f>
        <v>0</v>
      </c>
      <c r="AW18" s="115" t="n">
        <f aca="false">IFERROR(Assumptions!$B$44*(1+Assumptions!$B$36)^(AW6-1),"")</f>
        <v>0</v>
      </c>
      <c r="AX18" s="115" t="n">
        <f aca="false">IFERROR(Assumptions!$B$44*(1+Assumptions!$B$36)^(AX6-1),"")</f>
        <v>0</v>
      </c>
      <c r="AY18" s="115" t="n">
        <f aca="false">IFERROR(Assumptions!$B$44*(1+Assumptions!$B$36)^(AY6-1),"")</f>
        <v>0</v>
      </c>
      <c r="AZ18" s="115" t="n">
        <f aca="false">IFERROR(Assumptions!$B$44*(1+Assumptions!$B$36)^(AZ6-1),"")</f>
        <v>0</v>
      </c>
      <c r="BA18" s="115" t="n">
        <f aca="false">IFERROR(Assumptions!$B$44*(1+Assumptions!$B$36)^(BA6-1),"")</f>
        <v>0</v>
      </c>
      <c r="BB18" s="115" t="n">
        <f aca="false">IFERROR(Assumptions!$B$44*(1+Assumptions!$B$36)^(BB6-1),"")</f>
        <v>0</v>
      </c>
      <c r="BC18" s="115" t="n">
        <f aca="false">IFERROR(Assumptions!$B$44*(1+Assumptions!$B$36)^(BC6-1),"")</f>
        <v>0</v>
      </c>
      <c r="BD18" s="115" t="n">
        <f aca="false">IFERROR(Assumptions!$B$44*(1+Assumptions!$B$36)^(BD6-1),"")</f>
        <v>0</v>
      </c>
      <c r="BE18" s="115" t="n">
        <f aca="false">IFERROR(Assumptions!$B$44*(1+Assumptions!$B$36)^(BE6-1),"")</f>
        <v>0</v>
      </c>
      <c r="BF18" s="115" t="n">
        <f aca="false">IFERROR(Assumptions!$B$44*(1+Assumptions!$B$36)^(BF6-1),"")</f>
        <v>0</v>
      </c>
      <c r="BG18" s="115" t="n">
        <f aca="false">IFERROR(Assumptions!$B$44*(1+Assumptions!$B$36)^(BG6-1),"")</f>
        <v>0</v>
      </c>
      <c r="BH18" s="115" t="n">
        <f aca="false">IFERROR(Assumptions!$B$44*(1+Assumptions!$B$36)^(BH6-1),"")</f>
        <v>0</v>
      </c>
      <c r="BI18" s="115" t="n">
        <f aca="false">IFERROR(Assumptions!$B$44*(1+Assumptions!$B$36)^(BI6-1),"")</f>
        <v>0</v>
      </c>
      <c r="BJ18" s="115" t="n">
        <f aca="false">IFERROR(Assumptions!$B$44*(1+Assumptions!$B$36)^(BJ6-1),"")</f>
        <v>0</v>
      </c>
    </row>
    <row r="19" customFormat="false" ht="15" hidden="false" customHeight="true" outlineLevel="0" collapsed="false">
      <c r="A19" s="114" t="str">
        <f aca="false">IFERROR(INDEX('Industry Labels'!$C$24:$Z$24,MATCH(Assumptions!$B$3,'Industry Labels'!$C$4:$Z$4,0)),"Fixed utility / facility charges")</f>
        <v>Fixed utility / facility charges</v>
      </c>
      <c r="B19" s="111" t="s">
        <v>289</v>
      </c>
      <c r="C19" s="115" t="n">
        <f aca="false">IFERROR(Assumptions!$B$45*(1+Assumptions!$B$35)^(C6-1),"")</f>
        <v>0</v>
      </c>
      <c r="D19" s="115" t="n">
        <f aca="false">IFERROR(Assumptions!$B$45*(1+Assumptions!$B$35)^(D6-1),"")</f>
        <v>0</v>
      </c>
      <c r="E19" s="115" t="n">
        <f aca="false">IFERROR(Assumptions!$B$45*(1+Assumptions!$B$35)^(E6-1),"")</f>
        <v>0</v>
      </c>
      <c r="F19" s="115" t="n">
        <f aca="false">IFERROR(Assumptions!$B$45*(1+Assumptions!$B$35)^(F6-1),"")</f>
        <v>0</v>
      </c>
      <c r="G19" s="115" t="n">
        <f aca="false">IFERROR(Assumptions!$B$45*(1+Assumptions!$B$35)^(G6-1),"")</f>
        <v>0</v>
      </c>
      <c r="H19" s="115" t="n">
        <f aca="false">IFERROR(Assumptions!$B$45*(1+Assumptions!$B$35)^(H6-1),"")</f>
        <v>0</v>
      </c>
      <c r="I19" s="115" t="n">
        <f aca="false">IFERROR(Assumptions!$B$45*(1+Assumptions!$B$35)^(I6-1),"")</f>
        <v>0</v>
      </c>
      <c r="J19" s="115" t="n">
        <f aca="false">IFERROR(Assumptions!$B$45*(1+Assumptions!$B$35)^(J6-1),"")</f>
        <v>0</v>
      </c>
      <c r="K19" s="115" t="n">
        <f aca="false">IFERROR(Assumptions!$B$45*(1+Assumptions!$B$35)^(K6-1),"")</f>
        <v>0</v>
      </c>
      <c r="L19" s="115" t="n">
        <f aca="false">IFERROR(Assumptions!$B$45*(1+Assumptions!$B$35)^(L6-1),"")</f>
        <v>0</v>
      </c>
      <c r="M19" s="115" t="n">
        <f aca="false">IFERROR(Assumptions!$B$45*(1+Assumptions!$B$35)^(M6-1),"")</f>
        <v>0</v>
      </c>
      <c r="N19" s="115" t="n">
        <f aca="false">IFERROR(Assumptions!$B$45*(1+Assumptions!$B$35)^(N6-1),"")</f>
        <v>0</v>
      </c>
      <c r="O19" s="115" t="n">
        <f aca="false">IFERROR(Assumptions!$B$45*(1+Assumptions!$B$35)^(O6-1),"")</f>
        <v>0</v>
      </c>
      <c r="P19" s="115" t="n">
        <f aca="false">IFERROR(Assumptions!$B$45*(1+Assumptions!$B$35)^(P6-1),"")</f>
        <v>0</v>
      </c>
      <c r="Q19" s="115" t="n">
        <f aca="false">IFERROR(Assumptions!$B$45*(1+Assumptions!$B$35)^(Q6-1),"")</f>
        <v>0</v>
      </c>
      <c r="R19" s="115" t="n">
        <f aca="false">IFERROR(Assumptions!$B$45*(1+Assumptions!$B$35)^(R6-1),"")</f>
        <v>0</v>
      </c>
      <c r="S19" s="115" t="n">
        <f aca="false">IFERROR(Assumptions!$B$45*(1+Assumptions!$B$35)^(S6-1),"")</f>
        <v>0</v>
      </c>
      <c r="T19" s="115" t="n">
        <f aca="false">IFERROR(Assumptions!$B$45*(1+Assumptions!$B$35)^(T6-1),"")</f>
        <v>0</v>
      </c>
      <c r="U19" s="115" t="n">
        <f aca="false">IFERROR(Assumptions!$B$45*(1+Assumptions!$B$35)^(U6-1),"")</f>
        <v>0</v>
      </c>
      <c r="V19" s="115" t="n">
        <f aca="false">IFERROR(Assumptions!$B$45*(1+Assumptions!$B$35)^(V6-1),"")</f>
        <v>0</v>
      </c>
      <c r="W19" s="115" t="n">
        <f aca="false">IFERROR(Assumptions!$B$45*(1+Assumptions!$B$35)^(W6-1),"")</f>
        <v>0</v>
      </c>
      <c r="X19" s="115" t="n">
        <f aca="false">IFERROR(Assumptions!$B$45*(1+Assumptions!$B$35)^(X6-1),"")</f>
        <v>0</v>
      </c>
      <c r="Y19" s="115" t="n">
        <f aca="false">IFERROR(Assumptions!$B$45*(1+Assumptions!$B$35)^(Y6-1),"")</f>
        <v>0</v>
      </c>
      <c r="Z19" s="115" t="n">
        <f aca="false">IFERROR(Assumptions!$B$45*(1+Assumptions!$B$35)^(Z6-1),"")</f>
        <v>0</v>
      </c>
      <c r="AA19" s="115" t="n">
        <f aca="false">IFERROR(Assumptions!$B$45*(1+Assumptions!$B$35)^(AA6-1),"")</f>
        <v>0</v>
      </c>
      <c r="AB19" s="115" t="n">
        <f aca="false">IFERROR(Assumptions!$B$45*(1+Assumptions!$B$35)^(AB6-1),"")</f>
        <v>0</v>
      </c>
      <c r="AC19" s="115" t="n">
        <f aca="false">IFERROR(Assumptions!$B$45*(1+Assumptions!$B$35)^(AC6-1),"")</f>
        <v>0</v>
      </c>
      <c r="AD19" s="115" t="n">
        <f aca="false">IFERROR(Assumptions!$B$45*(1+Assumptions!$B$35)^(AD6-1),"")</f>
        <v>0</v>
      </c>
      <c r="AE19" s="115" t="n">
        <f aca="false">IFERROR(Assumptions!$B$45*(1+Assumptions!$B$35)^(AE6-1),"")</f>
        <v>0</v>
      </c>
      <c r="AF19" s="115" t="n">
        <f aca="false">IFERROR(Assumptions!$B$45*(1+Assumptions!$B$35)^(AF6-1),"")</f>
        <v>0</v>
      </c>
      <c r="AG19" s="115" t="n">
        <f aca="false">IFERROR(Assumptions!$B$45*(1+Assumptions!$B$35)^(AG6-1),"")</f>
        <v>0</v>
      </c>
      <c r="AH19" s="115" t="n">
        <f aca="false">IFERROR(Assumptions!$B$45*(1+Assumptions!$B$35)^(AH6-1),"")</f>
        <v>0</v>
      </c>
      <c r="AI19" s="115" t="n">
        <f aca="false">IFERROR(Assumptions!$B$45*(1+Assumptions!$B$35)^(AI6-1),"")</f>
        <v>0</v>
      </c>
      <c r="AJ19" s="115" t="n">
        <f aca="false">IFERROR(Assumptions!$B$45*(1+Assumptions!$B$35)^(AJ6-1),"")</f>
        <v>0</v>
      </c>
      <c r="AK19" s="115" t="n">
        <f aca="false">IFERROR(Assumptions!$B$45*(1+Assumptions!$B$35)^(AK6-1),"")</f>
        <v>0</v>
      </c>
      <c r="AL19" s="115" t="n">
        <f aca="false">IFERROR(Assumptions!$B$45*(1+Assumptions!$B$35)^(AL6-1),"")</f>
        <v>0</v>
      </c>
      <c r="AM19" s="115" t="n">
        <f aca="false">IFERROR(Assumptions!$B$45*(1+Assumptions!$B$35)^(AM6-1),"")</f>
        <v>0</v>
      </c>
      <c r="AN19" s="115" t="n">
        <f aca="false">IFERROR(Assumptions!$B$45*(1+Assumptions!$B$35)^(AN6-1),"")</f>
        <v>0</v>
      </c>
      <c r="AO19" s="115" t="n">
        <f aca="false">IFERROR(Assumptions!$B$45*(1+Assumptions!$B$35)^(AO6-1),"")</f>
        <v>0</v>
      </c>
      <c r="AP19" s="115" t="n">
        <f aca="false">IFERROR(Assumptions!$B$45*(1+Assumptions!$B$35)^(AP6-1),"")</f>
        <v>0</v>
      </c>
      <c r="AQ19" s="115" t="n">
        <f aca="false">IFERROR(Assumptions!$B$45*(1+Assumptions!$B$35)^(AQ6-1),"")</f>
        <v>0</v>
      </c>
      <c r="AR19" s="115" t="n">
        <f aca="false">IFERROR(Assumptions!$B$45*(1+Assumptions!$B$35)^(AR6-1),"")</f>
        <v>0</v>
      </c>
      <c r="AS19" s="115" t="n">
        <f aca="false">IFERROR(Assumptions!$B$45*(1+Assumptions!$B$35)^(AS6-1),"")</f>
        <v>0</v>
      </c>
      <c r="AT19" s="115" t="n">
        <f aca="false">IFERROR(Assumptions!$B$45*(1+Assumptions!$B$35)^(AT6-1),"")</f>
        <v>0</v>
      </c>
      <c r="AU19" s="115" t="n">
        <f aca="false">IFERROR(Assumptions!$B$45*(1+Assumptions!$B$35)^(AU6-1),"")</f>
        <v>0</v>
      </c>
      <c r="AV19" s="115" t="n">
        <f aca="false">IFERROR(Assumptions!$B$45*(1+Assumptions!$B$35)^(AV6-1),"")</f>
        <v>0</v>
      </c>
      <c r="AW19" s="115" t="n">
        <f aca="false">IFERROR(Assumptions!$B$45*(1+Assumptions!$B$35)^(AW6-1),"")</f>
        <v>0</v>
      </c>
      <c r="AX19" s="115" t="n">
        <f aca="false">IFERROR(Assumptions!$B$45*(1+Assumptions!$B$35)^(AX6-1),"")</f>
        <v>0</v>
      </c>
      <c r="AY19" s="115" t="n">
        <f aca="false">IFERROR(Assumptions!$B$45*(1+Assumptions!$B$35)^(AY6-1),"")</f>
        <v>0</v>
      </c>
      <c r="AZ19" s="115" t="n">
        <f aca="false">IFERROR(Assumptions!$B$45*(1+Assumptions!$B$35)^(AZ6-1),"")</f>
        <v>0</v>
      </c>
      <c r="BA19" s="115" t="n">
        <f aca="false">IFERROR(Assumptions!$B$45*(1+Assumptions!$B$35)^(BA6-1),"")</f>
        <v>0</v>
      </c>
      <c r="BB19" s="115" t="n">
        <f aca="false">IFERROR(Assumptions!$B$45*(1+Assumptions!$B$35)^(BB6-1),"")</f>
        <v>0</v>
      </c>
      <c r="BC19" s="115" t="n">
        <f aca="false">IFERROR(Assumptions!$B$45*(1+Assumptions!$B$35)^(BC6-1),"")</f>
        <v>0</v>
      </c>
      <c r="BD19" s="115" t="n">
        <f aca="false">IFERROR(Assumptions!$B$45*(1+Assumptions!$B$35)^(BD6-1),"")</f>
        <v>0</v>
      </c>
      <c r="BE19" s="115" t="n">
        <f aca="false">IFERROR(Assumptions!$B$45*(1+Assumptions!$B$35)^(BE6-1),"")</f>
        <v>0</v>
      </c>
      <c r="BF19" s="115" t="n">
        <f aca="false">IFERROR(Assumptions!$B$45*(1+Assumptions!$B$35)^(BF6-1),"")</f>
        <v>0</v>
      </c>
      <c r="BG19" s="115" t="n">
        <f aca="false">IFERROR(Assumptions!$B$45*(1+Assumptions!$B$35)^(BG6-1),"")</f>
        <v>0</v>
      </c>
      <c r="BH19" s="115" t="n">
        <f aca="false">IFERROR(Assumptions!$B$45*(1+Assumptions!$B$35)^(BH6-1),"")</f>
        <v>0</v>
      </c>
      <c r="BI19" s="115" t="n">
        <f aca="false">IFERROR(Assumptions!$B$45*(1+Assumptions!$B$35)^(BI6-1),"")</f>
        <v>0</v>
      </c>
      <c r="BJ19" s="115" t="n">
        <f aca="false">IFERROR(Assumptions!$B$45*(1+Assumptions!$B$35)^(BJ6-1),"")</f>
        <v>0</v>
      </c>
    </row>
    <row r="20" customFormat="false" ht="15" hidden="false" customHeight="true" outlineLevel="0" collapsed="false">
      <c r="A20" s="114" t="s">
        <v>156</v>
      </c>
      <c r="B20" s="111" t="s">
        <v>289</v>
      </c>
      <c r="C20" s="115" t="n">
        <f aca="false">IFERROR(('Project Cost'!$C$7+'Project Cost'!$C$11)*Assumptions!$B$46/12*(1+Assumptions!$B$37)^(C6-1),"")</f>
        <v>0</v>
      </c>
      <c r="D20" s="115" t="n">
        <f aca="false">IFERROR(('Project Cost'!$C$7+'Project Cost'!$C$11)*Assumptions!$B$46/12*(1+Assumptions!$B$37)^(D6-1),"")</f>
        <v>0</v>
      </c>
      <c r="E20" s="115" t="n">
        <f aca="false">IFERROR(('Project Cost'!$C$7+'Project Cost'!$C$11)*Assumptions!$B$46/12*(1+Assumptions!$B$37)^(E6-1),"")</f>
        <v>0</v>
      </c>
      <c r="F20" s="115" t="n">
        <f aca="false">IFERROR(('Project Cost'!$C$7+'Project Cost'!$C$11)*Assumptions!$B$46/12*(1+Assumptions!$B$37)^(F6-1),"")</f>
        <v>0</v>
      </c>
      <c r="G20" s="115" t="n">
        <f aca="false">IFERROR(('Project Cost'!$C$7+'Project Cost'!$C$11)*Assumptions!$B$46/12*(1+Assumptions!$B$37)^(G6-1),"")</f>
        <v>0</v>
      </c>
      <c r="H20" s="115" t="n">
        <f aca="false">IFERROR(('Project Cost'!$C$7+'Project Cost'!$C$11)*Assumptions!$B$46/12*(1+Assumptions!$B$37)^(H6-1),"")</f>
        <v>0</v>
      </c>
      <c r="I20" s="115" t="n">
        <f aca="false">IFERROR(('Project Cost'!$C$7+'Project Cost'!$C$11)*Assumptions!$B$46/12*(1+Assumptions!$B$37)^(I6-1),"")</f>
        <v>0</v>
      </c>
      <c r="J20" s="115" t="n">
        <f aca="false">IFERROR(('Project Cost'!$C$7+'Project Cost'!$C$11)*Assumptions!$B$46/12*(1+Assumptions!$B$37)^(J6-1),"")</f>
        <v>0</v>
      </c>
      <c r="K20" s="115" t="n">
        <f aca="false">IFERROR(('Project Cost'!$C$7+'Project Cost'!$C$11)*Assumptions!$B$46/12*(1+Assumptions!$B$37)^(K6-1),"")</f>
        <v>0</v>
      </c>
      <c r="L20" s="115" t="n">
        <f aca="false">IFERROR(('Project Cost'!$C$7+'Project Cost'!$C$11)*Assumptions!$B$46/12*(1+Assumptions!$B$37)^(L6-1),"")</f>
        <v>0</v>
      </c>
      <c r="M20" s="115" t="n">
        <f aca="false">IFERROR(('Project Cost'!$C$7+'Project Cost'!$C$11)*Assumptions!$B$46/12*(1+Assumptions!$B$37)^(M6-1),"")</f>
        <v>0</v>
      </c>
      <c r="N20" s="115" t="n">
        <f aca="false">IFERROR(('Project Cost'!$C$7+'Project Cost'!$C$11)*Assumptions!$B$46/12*(1+Assumptions!$B$37)^(N6-1),"")</f>
        <v>0</v>
      </c>
      <c r="O20" s="115" t="n">
        <f aca="false">IFERROR(('Project Cost'!$C$7+'Project Cost'!$C$11)*Assumptions!$B$46/12*(1+Assumptions!$B$37)^(O6-1),"")</f>
        <v>0</v>
      </c>
      <c r="P20" s="115" t="n">
        <f aca="false">IFERROR(('Project Cost'!$C$7+'Project Cost'!$C$11)*Assumptions!$B$46/12*(1+Assumptions!$B$37)^(P6-1),"")</f>
        <v>0</v>
      </c>
      <c r="Q20" s="115" t="n">
        <f aca="false">IFERROR(('Project Cost'!$C$7+'Project Cost'!$C$11)*Assumptions!$B$46/12*(1+Assumptions!$B$37)^(Q6-1),"")</f>
        <v>0</v>
      </c>
      <c r="R20" s="115" t="n">
        <f aca="false">IFERROR(('Project Cost'!$C$7+'Project Cost'!$C$11)*Assumptions!$B$46/12*(1+Assumptions!$B$37)^(R6-1),"")</f>
        <v>0</v>
      </c>
      <c r="S20" s="115" t="n">
        <f aca="false">IFERROR(('Project Cost'!$C$7+'Project Cost'!$C$11)*Assumptions!$B$46/12*(1+Assumptions!$B$37)^(S6-1),"")</f>
        <v>0</v>
      </c>
      <c r="T20" s="115" t="n">
        <f aca="false">IFERROR(('Project Cost'!$C$7+'Project Cost'!$C$11)*Assumptions!$B$46/12*(1+Assumptions!$B$37)^(T6-1),"")</f>
        <v>0</v>
      </c>
      <c r="U20" s="115" t="n">
        <f aca="false">IFERROR(('Project Cost'!$C$7+'Project Cost'!$C$11)*Assumptions!$B$46/12*(1+Assumptions!$B$37)^(U6-1),"")</f>
        <v>0</v>
      </c>
      <c r="V20" s="115" t="n">
        <f aca="false">IFERROR(('Project Cost'!$C$7+'Project Cost'!$C$11)*Assumptions!$B$46/12*(1+Assumptions!$B$37)^(V6-1),"")</f>
        <v>0</v>
      </c>
      <c r="W20" s="115" t="n">
        <f aca="false">IFERROR(('Project Cost'!$C$7+'Project Cost'!$C$11)*Assumptions!$B$46/12*(1+Assumptions!$B$37)^(W6-1),"")</f>
        <v>0</v>
      </c>
      <c r="X20" s="115" t="n">
        <f aca="false">IFERROR(('Project Cost'!$C$7+'Project Cost'!$C$11)*Assumptions!$B$46/12*(1+Assumptions!$B$37)^(X6-1),"")</f>
        <v>0</v>
      </c>
      <c r="Y20" s="115" t="n">
        <f aca="false">IFERROR(('Project Cost'!$C$7+'Project Cost'!$C$11)*Assumptions!$B$46/12*(1+Assumptions!$B$37)^(Y6-1),"")</f>
        <v>0</v>
      </c>
      <c r="Z20" s="115" t="n">
        <f aca="false">IFERROR(('Project Cost'!$C$7+'Project Cost'!$C$11)*Assumptions!$B$46/12*(1+Assumptions!$B$37)^(Z6-1),"")</f>
        <v>0</v>
      </c>
      <c r="AA20" s="115" t="n">
        <f aca="false">IFERROR(('Project Cost'!$C$7+'Project Cost'!$C$11)*Assumptions!$B$46/12*(1+Assumptions!$B$37)^(AA6-1),"")</f>
        <v>0</v>
      </c>
      <c r="AB20" s="115" t="n">
        <f aca="false">IFERROR(('Project Cost'!$C$7+'Project Cost'!$C$11)*Assumptions!$B$46/12*(1+Assumptions!$B$37)^(AB6-1),"")</f>
        <v>0</v>
      </c>
      <c r="AC20" s="115" t="n">
        <f aca="false">IFERROR(('Project Cost'!$C$7+'Project Cost'!$C$11)*Assumptions!$B$46/12*(1+Assumptions!$B$37)^(AC6-1),"")</f>
        <v>0</v>
      </c>
      <c r="AD20" s="115" t="n">
        <f aca="false">IFERROR(('Project Cost'!$C$7+'Project Cost'!$C$11)*Assumptions!$B$46/12*(1+Assumptions!$B$37)^(AD6-1),"")</f>
        <v>0</v>
      </c>
      <c r="AE20" s="115" t="n">
        <f aca="false">IFERROR(('Project Cost'!$C$7+'Project Cost'!$C$11)*Assumptions!$B$46/12*(1+Assumptions!$B$37)^(AE6-1),"")</f>
        <v>0</v>
      </c>
      <c r="AF20" s="115" t="n">
        <f aca="false">IFERROR(('Project Cost'!$C$7+'Project Cost'!$C$11)*Assumptions!$B$46/12*(1+Assumptions!$B$37)^(AF6-1),"")</f>
        <v>0</v>
      </c>
      <c r="AG20" s="115" t="n">
        <f aca="false">IFERROR(('Project Cost'!$C$7+'Project Cost'!$C$11)*Assumptions!$B$46/12*(1+Assumptions!$B$37)^(AG6-1),"")</f>
        <v>0</v>
      </c>
      <c r="AH20" s="115" t="n">
        <f aca="false">IFERROR(('Project Cost'!$C$7+'Project Cost'!$C$11)*Assumptions!$B$46/12*(1+Assumptions!$B$37)^(AH6-1),"")</f>
        <v>0</v>
      </c>
      <c r="AI20" s="115" t="n">
        <f aca="false">IFERROR(('Project Cost'!$C$7+'Project Cost'!$C$11)*Assumptions!$B$46/12*(1+Assumptions!$B$37)^(AI6-1),"")</f>
        <v>0</v>
      </c>
      <c r="AJ20" s="115" t="n">
        <f aca="false">IFERROR(('Project Cost'!$C$7+'Project Cost'!$C$11)*Assumptions!$B$46/12*(1+Assumptions!$B$37)^(AJ6-1),"")</f>
        <v>0</v>
      </c>
      <c r="AK20" s="115" t="n">
        <f aca="false">IFERROR(('Project Cost'!$C$7+'Project Cost'!$C$11)*Assumptions!$B$46/12*(1+Assumptions!$B$37)^(AK6-1),"")</f>
        <v>0</v>
      </c>
      <c r="AL20" s="115" t="n">
        <f aca="false">IFERROR(('Project Cost'!$C$7+'Project Cost'!$C$11)*Assumptions!$B$46/12*(1+Assumptions!$B$37)^(AL6-1),"")</f>
        <v>0</v>
      </c>
      <c r="AM20" s="115" t="n">
        <f aca="false">IFERROR(('Project Cost'!$C$7+'Project Cost'!$C$11)*Assumptions!$B$46/12*(1+Assumptions!$B$37)^(AM6-1),"")</f>
        <v>0</v>
      </c>
      <c r="AN20" s="115" t="n">
        <f aca="false">IFERROR(('Project Cost'!$C$7+'Project Cost'!$C$11)*Assumptions!$B$46/12*(1+Assumptions!$B$37)^(AN6-1),"")</f>
        <v>0</v>
      </c>
      <c r="AO20" s="115" t="n">
        <f aca="false">IFERROR(('Project Cost'!$C$7+'Project Cost'!$C$11)*Assumptions!$B$46/12*(1+Assumptions!$B$37)^(AO6-1),"")</f>
        <v>0</v>
      </c>
      <c r="AP20" s="115" t="n">
        <f aca="false">IFERROR(('Project Cost'!$C$7+'Project Cost'!$C$11)*Assumptions!$B$46/12*(1+Assumptions!$B$37)^(AP6-1),"")</f>
        <v>0</v>
      </c>
      <c r="AQ20" s="115" t="n">
        <f aca="false">IFERROR(('Project Cost'!$C$7+'Project Cost'!$C$11)*Assumptions!$B$46/12*(1+Assumptions!$B$37)^(AQ6-1),"")</f>
        <v>0</v>
      </c>
      <c r="AR20" s="115" t="n">
        <f aca="false">IFERROR(('Project Cost'!$C$7+'Project Cost'!$C$11)*Assumptions!$B$46/12*(1+Assumptions!$B$37)^(AR6-1),"")</f>
        <v>0</v>
      </c>
      <c r="AS20" s="115" t="n">
        <f aca="false">IFERROR(('Project Cost'!$C$7+'Project Cost'!$C$11)*Assumptions!$B$46/12*(1+Assumptions!$B$37)^(AS6-1),"")</f>
        <v>0</v>
      </c>
      <c r="AT20" s="115" t="n">
        <f aca="false">IFERROR(('Project Cost'!$C$7+'Project Cost'!$C$11)*Assumptions!$B$46/12*(1+Assumptions!$B$37)^(AT6-1),"")</f>
        <v>0</v>
      </c>
      <c r="AU20" s="115" t="n">
        <f aca="false">IFERROR(('Project Cost'!$C$7+'Project Cost'!$C$11)*Assumptions!$B$46/12*(1+Assumptions!$B$37)^(AU6-1),"")</f>
        <v>0</v>
      </c>
      <c r="AV20" s="115" t="n">
        <f aca="false">IFERROR(('Project Cost'!$C$7+'Project Cost'!$C$11)*Assumptions!$B$46/12*(1+Assumptions!$B$37)^(AV6-1),"")</f>
        <v>0</v>
      </c>
      <c r="AW20" s="115" t="n">
        <f aca="false">IFERROR(('Project Cost'!$C$7+'Project Cost'!$C$11)*Assumptions!$B$46/12*(1+Assumptions!$B$37)^(AW6-1),"")</f>
        <v>0</v>
      </c>
      <c r="AX20" s="115" t="n">
        <f aca="false">IFERROR(('Project Cost'!$C$7+'Project Cost'!$C$11)*Assumptions!$B$46/12*(1+Assumptions!$B$37)^(AX6-1),"")</f>
        <v>0</v>
      </c>
      <c r="AY20" s="115" t="n">
        <f aca="false">IFERROR(('Project Cost'!$C$7+'Project Cost'!$C$11)*Assumptions!$B$46/12*(1+Assumptions!$B$37)^(AY6-1),"")</f>
        <v>0</v>
      </c>
      <c r="AZ20" s="115" t="n">
        <f aca="false">IFERROR(('Project Cost'!$C$7+'Project Cost'!$C$11)*Assumptions!$B$46/12*(1+Assumptions!$B$37)^(AZ6-1),"")</f>
        <v>0</v>
      </c>
      <c r="BA20" s="115" t="n">
        <f aca="false">IFERROR(('Project Cost'!$C$7+'Project Cost'!$C$11)*Assumptions!$B$46/12*(1+Assumptions!$B$37)^(BA6-1),"")</f>
        <v>0</v>
      </c>
      <c r="BB20" s="115" t="n">
        <f aca="false">IFERROR(('Project Cost'!$C$7+'Project Cost'!$C$11)*Assumptions!$B$46/12*(1+Assumptions!$B$37)^(BB6-1),"")</f>
        <v>0</v>
      </c>
      <c r="BC20" s="115" t="n">
        <f aca="false">IFERROR(('Project Cost'!$C$7+'Project Cost'!$C$11)*Assumptions!$B$46/12*(1+Assumptions!$B$37)^(BC6-1),"")</f>
        <v>0</v>
      </c>
      <c r="BD20" s="115" t="n">
        <f aca="false">IFERROR(('Project Cost'!$C$7+'Project Cost'!$C$11)*Assumptions!$B$46/12*(1+Assumptions!$B$37)^(BD6-1),"")</f>
        <v>0</v>
      </c>
      <c r="BE20" s="115" t="n">
        <f aca="false">IFERROR(('Project Cost'!$C$7+'Project Cost'!$C$11)*Assumptions!$B$46/12*(1+Assumptions!$B$37)^(BE6-1),"")</f>
        <v>0</v>
      </c>
      <c r="BF20" s="115" t="n">
        <f aca="false">IFERROR(('Project Cost'!$C$7+'Project Cost'!$C$11)*Assumptions!$B$46/12*(1+Assumptions!$B$37)^(BF6-1),"")</f>
        <v>0</v>
      </c>
      <c r="BG20" s="115" t="n">
        <f aca="false">IFERROR(('Project Cost'!$C$7+'Project Cost'!$C$11)*Assumptions!$B$46/12*(1+Assumptions!$B$37)^(BG6-1),"")</f>
        <v>0</v>
      </c>
      <c r="BH20" s="115" t="n">
        <f aca="false">IFERROR(('Project Cost'!$C$7+'Project Cost'!$C$11)*Assumptions!$B$46/12*(1+Assumptions!$B$37)^(BH6-1),"")</f>
        <v>0</v>
      </c>
      <c r="BI20" s="115" t="n">
        <f aca="false">IFERROR(('Project Cost'!$C$7+'Project Cost'!$C$11)*Assumptions!$B$46/12*(1+Assumptions!$B$37)^(BI6-1),"")</f>
        <v>0</v>
      </c>
      <c r="BJ20" s="115" t="n">
        <f aca="false">IFERROR(('Project Cost'!$C$7+'Project Cost'!$C$11)*Assumptions!$B$46/12*(1+Assumptions!$B$37)^(BJ6-1),"")</f>
        <v>0</v>
      </c>
    </row>
    <row r="21" customFormat="false" ht="15" hidden="false" customHeight="true" outlineLevel="0" collapsed="false">
      <c r="A21" s="114" t="s">
        <v>159</v>
      </c>
      <c r="B21" s="111" t="s">
        <v>289</v>
      </c>
      <c r="C21" s="115" t="n">
        <f aca="false">IFERROR(('Project Cost'!$C$14-'Project Cost'!$C$5-'Project Cost'!$C$13)*Assumptions!$B$47/12*(1+Assumptions!$B$37)^(C6-1),"")</f>
        <v>0</v>
      </c>
      <c r="D21" s="115" t="n">
        <f aca="false">IFERROR(('Project Cost'!$C$14-'Project Cost'!$C$5-'Project Cost'!$C$13)*Assumptions!$B$47/12*(1+Assumptions!$B$37)^(D6-1),"")</f>
        <v>0</v>
      </c>
      <c r="E21" s="115" t="n">
        <f aca="false">IFERROR(('Project Cost'!$C$14-'Project Cost'!$C$5-'Project Cost'!$C$13)*Assumptions!$B$47/12*(1+Assumptions!$B$37)^(E6-1),"")</f>
        <v>0</v>
      </c>
      <c r="F21" s="115" t="n">
        <f aca="false">IFERROR(('Project Cost'!$C$14-'Project Cost'!$C$5-'Project Cost'!$C$13)*Assumptions!$B$47/12*(1+Assumptions!$B$37)^(F6-1),"")</f>
        <v>0</v>
      </c>
      <c r="G21" s="115" t="n">
        <f aca="false">IFERROR(('Project Cost'!$C$14-'Project Cost'!$C$5-'Project Cost'!$C$13)*Assumptions!$B$47/12*(1+Assumptions!$B$37)^(G6-1),"")</f>
        <v>0</v>
      </c>
      <c r="H21" s="115" t="n">
        <f aca="false">IFERROR(('Project Cost'!$C$14-'Project Cost'!$C$5-'Project Cost'!$C$13)*Assumptions!$B$47/12*(1+Assumptions!$B$37)^(H6-1),"")</f>
        <v>0</v>
      </c>
      <c r="I21" s="115" t="n">
        <f aca="false">IFERROR(('Project Cost'!$C$14-'Project Cost'!$C$5-'Project Cost'!$C$13)*Assumptions!$B$47/12*(1+Assumptions!$B$37)^(I6-1),"")</f>
        <v>0</v>
      </c>
      <c r="J21" s="115" t="n">
        <f aca="false">IFERROR(('Project Cost'!$C$14-'Project Cost'!$C$5-'Project Cost'!$C$13)*Assumptions!$B$47/12*(1+Assumptions!$B$37)^(J6-1),"")</f>
        <v>0</v>
      </c>
      <c r="K21" s="115" t="n">
        <f aca="false">IFERROR(('Project Cost'!$C$14-'Project Cost'!$C$5-'Project Cost'!$C$13)*Assumptions!$B$47/12*(1+Assumptions!$B$37)^(K6-1),"")</f>
        <v>0</v>
      </c>
      <c r="L21" s="115" t="n">
        <f aca="false">IFERROR(('Project Cost'!$C$14-'Project Cost'!$C$5-'Project Cost'!$C$13)*Assumptions!$B$47/12*(1+Assumptions!$B$37)^(L6-1),"")</f>
        <v>0</v>
      </c>
      <c r="M21" s="115" t="n">
        <f aca="false">IFERROR(('Project Cost'!$C$14-'Project Cost'!$C$5-'Project Cost'!$C$13)*Assumptions!$B$47/12*(1+Assumptions!$B$37)^(M6-1),"")</f>
        <v>0</v>
      </c>
      <c r="N21" s="115" t="n">
        <f aca="false">IFERROR(('Project Cost'!$C$14-'Project Cost'!$C$5-'Project Cost'!$C$13)*Assumptions!$B$47/12*(1+Assumptions!$B$37)^(N6-1),"")</f>
        <v>0</v>
      </c>
      <c r="O21" s="115" t="n">
        <f aca="false">IFERROR(('Project Cost'!$C$14-'Project Cost'!$C$5-'Project Cost'!$C$13)*Assumptions!$B$47/12*(1+Assumptions!$B$37)^(O6-1),"")</f>
        <v>0</v>
      </c>
      <c r="P21" s="115" t="n">
        <f aca="false">IFERROR(('Project Cost'!$C$14-'Project Cost'!$C$5-'Project Cost'!$C$13)*Assumptions!$B$47/12*(1+Assumptions!$B$37)^(P6-1),"")</f>
        <v>0</v>
      </c>
      <c r="Q21" s="115" t="n">
        <f aca="false">IFERROR(('Project Cost'!$C$14-'Project Cost'!$C$5-'Project Cost'!$C$13)*Assumptions!$B$47/12*(1+Assumptions!$B$37)^(Q6-1),"")</f>
        <v>0</v>
      </c>
      <c r="R21" s="115" t="n">
        <f aca="false">IFERROR(('Project Cost'!$C$14-'Project Cost'!$C$5-'Project Cost'!$C$13)*Assumptions!$B$47/12*(1+Assumptions!$B$37)^(R6-1),"")</f>
        <v>0</v>
      </c>
      <c r="S21" s="115" t="n">
        <f aca="false">IFERROR(('Project Cost'!$C$14-'Project Cost'!$C$5-'Project Cost'!$C$13)*Assumptions!$B$47/12*(1+Assumptions!$B$37)^(S6-1),"")</f>
        <v>0</v>
      </c>
      <c r="T21" s="115" t="n">
        <f aca="false">IFERROR(('Project Cost'!$C$14-'Project Cost'!$C$5-'Project Cost'!$C$13)*Assumptions!$B$47/12*(1+Assumptions!$B$37)^(T6-1),"")</f>
        <v>0</v>
      </c>
      <c r="U21" s="115" t="n">
        <f aca="false">IFERROR(('Project Cost'!$C$14-'Project Cost'!$C$5-'Project Cost'!$C$13)*Assumptions!$B$47/12*(1+Assumptions!$B$37)^(U6-1),"")</f>
        <v>0</v>
      </c>
      <c r="V21" s="115" t="n">
        <f aca="false">IFERROR(('Project Cost'!$C$14-'Project Cost'!$C$5-'Project Cost'!$C$13)*Assumptions!$B$47/12*(1+Assumptions!$B$37)^(V6-1),"")</f>
        <v>0</v>
      </c>
      <c r="W21" s="115" t="n">
        <f aca="false">IFERROR(('Project Cost'!$C$14-'Project Cost'!$C$5-'Project Cost'!$C$13)*Assumptions!$B$47/12*(1+Assumptions!$B$37)^(W6-1),"")</f>
        <v>0</v>
      </c>
      <c r="X21" s="115" t="n">
        <f aca="false">IFERROR(('Project Cost'!$C$14-'Project Cost'!$C$5-'Project Cost'!$C$13)*Assumptions!$B$47/12*(1+Assumptions!$B$37)^(X6-1),"")</f>
        <v>0</v>
      </c>
      <c r="Y21" s="115" t="n">
        <f aca="false">IFERROR(('Project Cost'!$C$14-'Project Cost'!$C$5-'Project Cost'!$C$13)*Assumptions!$B$47/12*(1+Assumptions!$B$37)^(Y6-1),"")</f>
        <v>0</v>
      </c>
      <c r="Z21" s="115" t="n">
        <f aca="false">IFERROR(('Project Cost'!$C$14-'Project Cost'!$C$5-'Project Cost'!$C$13)*Assumptions!$B$47/12*(1+Assumptions!$B$37)^(Z6-1),"")</f>
        <v>0</v>
      </c>
      <c r="AA21" s="115" t="n">
        <f aca="false">IFERROR(('Project Cost'!$C$14-'Project Cost'!$C$5-'Project Cost'!$C$13)*Assumptions!$B$47/12*(1+Assumptions!$B$37)^(AA6-1),"")</f>
        <v>0</v>
      </c>
      <c r="AB21" s="115" t="n">
        <f aca="false">IFERROR(('Project Cost'!$C$14-'Project Cost'!$C$5-'Project Cost'!$C$13)*Assumptions!$B$47/12*(1+Assumptions!$B$37)^(AB6-1),"")</f>
        <v>0</v>
      </c>
      <c r="AC21" s="115" t="n">
        <f aca="false">IFERROR(('Project Cost'!$C$14-'Project Cost'!$C$5-'Project Cost'!$C$13)*Assumptions!$B$47/12*(1+Assumptions!$B$37)^(AC6-1),"")</f>
        <v>0</v>
      </c>
      <c r="AD21" s="115" t="n">
        <f aca="false">IFERROR(('Project Cost'!$C$14-'Project Cost'!$C$5-'Project Cost'!$C$13)*Assumptions!$B$47/12*(1+Assumptions!$B$37)^(AD6-1),"")</f>
        <v>0</v>
      </c>
      <c r="AE21" s="115" t="n">
        <f aca="false">IFERROR(('Project Cost'!$C$14-'Project Cost'!$C$5-'Project Cost'!$C$13)*Assumptions!$B$47/12*(1+Assumptions!$B$37)^(AE6-1),"")</f>
        <v>0</v>
      </c>
      <c r="AF21" s="115" t="n">
        <f aca="false">IFERROR(('Project Cost'!$C$14-'Project Cost'!$C$5-'Project Cost'!$C$13)*Assumptions!$B$47/12*(1+Assumptions!$B$37)^(AF6-1),"")</f>
        <v>0</v>
      </c>
      <c r="AG21" s="115" t="n">
        <f aca="false">IFERROR(('Project Cost'!$C$14-'Project Cost'!$C$5-'Project Cost'!$C$13)*Assumptions!$B$47/12*(1+Assumptions!$B$37)^(AG6-1),"")</f>
        <v>0</v>
      </c>
      <c r="AH21" s="115" t="n">
        <f aca="false">IFERROR(('Project Cost'!$C$14-'Project Cost'!$C$5-'Project Cost'!$C$13)*Assumptions!$B$47/12*(1+Assumptions!$B$37)^(AH6-1),"")</f>
        <v>0</v>
      </c>
      <c r="AI21" s="115" t="n">
        <f aca="false">IFERROR(('Project Cost'!$C$14-'Project Cost'!$C$5-'Project Cost'!$C$13)*Assumptions!$B$47/12*(1+Assumptions!$B$37)^(AI6-1),"")</f>
        <v>0</v>
      </c>
      <c r="AJ21" s="115" t="n">
        <f aca="false">IFERROR(('Project Cost'!$C$14-'Project Cost'!$C$5-'Project Cost'!$C$13)*Assumptions!$B$47/12*(1+Assumptions!$B$37)^(AJ6-1),"")</f>
        <v>0</v>
      </c>
      <c r="AK21" s="115" t="n">
        <f aca="false">IFERROR(('Project Cost'!$C$14-'Project Cost'!$C$5-'Project Cost'!$C$13)*Assumptions!$B$47/12*(1+Assumptions!$B$37)^(AK6-1),"")</f>
        <v>0</v>
      </c>
      <c r="AL21" s="115" t="n">
        <f aca="false">IFERROR(('Project Cost'!$C$14-'Project Cost'!$C$5-'Project Cost'!$C$13)*Assumptions!$B$47/12*(1+Assumptions!$B$37)^(AL6-1),"")</f>
        <v>0</v>
      </c>
      <c r="AM21" s="115" t="n">
        <f aca="false">IFERROR(('Project Cost'!$C$14-'Project Cost'!$C$5-'Project Cost'!$C$13)*Assumptions!$B$47/12*(1+Assumptions!$B$37)^(AM6-1),"")</f>
        <v>0</v>
      </c>
      <c r="AN21" s="115" t="n">
        <f aca="false">IFERROR(('Project Cost'!$C$14-'Project Cost'!$C$5-'Project Cost'!$C$13)*Assumptions!$B$47/12*(1+Assumptions!$B$37)^(AN6-1),"")</f>
        <v>0</v>
      </c>
      <c r="AO21" s="115" t="n">
        <f aca="false">IFERROR(('Project Cost'!$C$14-'Project Cost'!$C$5-'Project Cost'!$C$13)*Assumptions!$B$47/12*(1+Assumptions!$B$37)^(AO6-1),"")</f>
        <v>0</v>
      </c>
      <c r="AP21" s="115" t="n">
        <f aca="false">IFERROR(('Project Cost'!$C$14-'Project Cost'!$C$5-'Project Cost'!$C$13)*Assumptions!$B$47/12*(1+Assumptions!$B$37)^(AP6-1),"")</f>
        <v>0</v>
      </c>
      <c r="AQ21" s="115" t="n">
        <f aca="false">IFERROR(('Project Cost'!$C$14-'Project Cost'!$C$5-'Project Cost'!$C$13)*Assumptions!$B$47/12*(1+Assumptions!$B$37)^(AQ6-1),"")</f>
        <v>0</v>
      </c>
      <c r="AR21" s="115" t="n">
        <f aca="false">IFERROR(('Project Cost'!$C$14-'Project Cost'!$C$5-'Project Cost'!$C$13)*Assumptions!$B$47/12*(1+Assumptions!$B$37)^(AR6-1),"")</f>
        <v>0</v>
      </c>
      <c r="AS21" s="115" t="n">
        <f aca="false">IFERROR(('Project Cost'!$C$14-'Project Cost'!$C$5-'Project Cost'!$C$13)*Assumptions!$B$47/12*(1+Assumptions!$B$37)^(AS6-1),"")</f>
        <v>0</v>
      </c>
      <c r="AT21" s="115" t="n">
        <f aca="false">IFERROR(('Project Cost'!$C$14-'Project Cost'!$C$5-'Project Cost'!$C$13)*Assumptions!$B$47/12*(1+Assumptions!$B$37)^(AT6-1),"")</f>
        <v>0</v>
      </c>
      <c r="AU21" s="115" t="n">
        <f aca="false">IFERROR(('Project Cost'!$C$14-'Project Cost'!$C$5-'Project Cost'!$C$13)*Assumptions!$B$47/12*(1+Assumptions!$B$37)^(AU6-1),"")</f>
        <v>0</v>
      </c>
      <c r="AV21" s="115" t="n">
        <f aca="false">IFERROR(('Project Cost'!$C$14-'Project Cost'!$C$5-'Project Cost'!$C$13)*Assumptions!$B$47/12*(1+Assumptions!$B$37)^(AV6-1),"")</f>
        <v>0</v>
      </c>
      <c r="AW21" s="115" t="n">
        <f aca="false">IFERROR(('Project Cost'!$C$14-'Project Cost'!$C$5-'Project Cost'!$C$13)*Assumptions!$B$47/12*(1+Assumptions!$B$37)^(AW6-1),"")</f>
        <v>0</v>
      </c>
      <c r="AX21" s="115" t="n">
        <f aca="false">IFERROR(('Project Cost'!$C$14-'Project Cost'!$C$5-'Project Cost'!$C$13)*Assumptions!$B$47/12*(1+Assumptions!$B$37)^(AX6-1),"")</f>
        <v>0</v>
      </c>
      <c r="AY21" s="115" t="n">
        <f aca="false">IFERROR(('Project Cost'!$C$14-'Project Cost'!$C$5-'Project Cost'!$C$13)*Assumptions!$B$47/12*(1+Assumptions!$B$37)^(AY6-1),"")</f>
        <v>0</v>
      </c>
      <c r="AZ21" s="115" t="n">
        <f aca="false">IFERROR(('Project Cost'!$C$14-'Project Cost'!$C$5-'Project Cost'!$C$13)*Assumptions!$B$47/12*(1+Assumptions!$B$37)^(AZ6-1),"")</f>
        <v>0</v>
      </c>
      <c r="BA21" s="115" t="n">
        <f aca="false">IFERROR(('Project Cost'!$C$14-'Project Cost'!$C$5-'Project Cost'!$C$13)*Assumptions!$B$47/12*(1+Assumptions!$B$37)^(BA6-1),"")</f>
        <v>0</v>
      </c>
      <c r="BB21" s="115" t="n">
        <f aca="false">IFERROR(('Project Cost'!$C$14-'Project Cost'!$C$5-'Project Cost'!$C$13)*Assumptions!$B$47/12*(1+Assumptions!$B$37)^(BB6-1),"")</f>
        <v>0</v>
      </c>
      <c r="BC21" s="115" t="n">
        <f aca="false">IFERROR(('Project Cost'!$C$14-'Project Cost'!$C$5-'Project Cost'!$C$13)*Assumptions!$B$47/12*(1+Assumptions!$B$37)^(BC6-1),"")</f>
        <v>0</v>
      </c>
      <c r="BD21" s="115" t="n">
        <f aca="false">IFERROR(('Project Cost'!$C$14-'Project Cost'!$C$5-'Project Cost'!$C$13)*Assumptions!$B$47/12*(1+Assumptions!$B$37)^(BD6-1),"")</f>
        <v>0</v>
      </c>
      <c r="BE21" s="115" t="n">
        <f aca="false">IFERROR(('Project Cost'!$C$14-'Project Cost'!$C$5-'Project Cost'!$C$13)*Assumptions!$B$47/12*(1+Assumptions!$B$37)^(BE6-1),"")</f>
        <v>0</v>
      </c>
      <c r="BF21" s="115" t="n">
        <f aca="false">IFERROR(('Project Cost'!$C$14-'Project Cost'!$C$5-'Project Cost'!$C$13)*Assumptions!$B$47/12*(1+Assumptions!$B$37)^(BF6-1),"")</f>
        <v>0</v>
      </c>
      <c r="BG21" s="115" t="n">
        <f aca="false">IFERROR(('Project Cost'!$C$14-'Project Cost'!$C$5-'Project Cost'!$C$13)*Assumptions!$B$47/12*(1+Assumptions!$B$37)^(BG6-1),"")</f>
        <v>0</v>
      </c>
      <c r="BH21" s="115" t="n">
        <f aca="false">IFERROR(('Project Cost'!$C$14-'Project Cost'!$C$5-'Project Cost'!$C$13)*Assumptions!$B$47/12*(1+Assumptions!$B$37)^(BH6-1),"")</f>
        <v>0</v>
      </c>
      <c r="BI21" s="115" t="n">
        <f aca="false">IFERROR(('Project Cost'!$C$14-'Project Cost'!$C$5-'Project Cost'!$C$13)*Assumptions!$B$47/12*(1+Assumptions!$B$37)^(BI6-1),"")</f>
        <v>0</v>
      </c>
      <c r="BJ21" s="115" t="n">
        <f aca="false">IFERROR(('Project Cost'!$C$14-'Project Cost'!$C$5-'Project Cost'!$C$13)*Assumptions!$B$47/12*(1+Assumptions!$B$37)^(BJ6-1),"")</f>
        <v>0</v>
      </c>
    </row>
    <row r="22" customFormat="false" ht="15" hidden="false" customHeight="true" outlineLevel="0" collapsed="false">
      <c r="A22" s="114" t="s">
        <v>162</v>
      </c>
      <c r="B22" s="111" t="s">
        <v>289</v>
      </c>
      <c r="C22" s="115" t="n">
        <f aca="false">IFERROR(Assumptions!$B$48*(1+Assumptions!$B$37)^(C6-1),"")</f>
        <v>0</v>
      </c>
      <c r="D22" s="115" t="n">
        <f aca="false">IFERROR(Assumptions!$B$48*(1+Assumptions!$B$37)^(D6-1),"")</f>
        <v>0</v>
      </c>
      <c r="E22" s="115" t="n">
        <f aca="false">IFERROR(Assumptions!$B$48*(1+Assumptions!$B$37)^(E6-1),"")</f>
        <v>0</v>
      </c>
      <c r="F22" s="115" t="n">
        <f aca="false">IFERROR(Assumptions!$B$48*(1+Assumptions!$B$37)^(F6-1),"")</f>
        <v>0</v>
      </c>
      <c r="G22" s="115" t="n">
        <f aca="false">IFERROR(Assumptions!$B$48*(1+Assumptions!$B$37)^(G6-1),"")</f>
        <v>0</v>
      </c>
      <c r="H22" s="115" t="n">
        <f aca="false">IFERROR(Assumptions!$B$48*(1+Assumptions!$B$37)^(H6-1),"")</f>
        <v>0</v>
      </c>
      <c r="I22" s="115" t="n">
        <f aca="false">IFERROR(Assumptions!$B$48*(1+Assumptions!$B$37)^(I6-1),"")</f>
        <v>0</v>
      </c>
      <c r="J22" s="115" t="n">
        <f aca="false">IFERROR(Assumptions!$B$48*(1+Assumptions!$B$37)^(J6-1),"")</f>
        <v>0</v>
      </c>
      <c r="K22" s="115" t="n">
        <f aca="false">IFERROR(Assumptions!$B$48*(1+Assumptions!$B$37)^(K6-1),"")</f>
        <v>0</v>
      </c>
      <c r="L22" s="115" t="n">
        <f aca="false">IFERROR(Assumptions!$B$48*(1+Assumptions!$B$37)^(L6-1),"")</f>
        <v>0</v>
      </c>
      <c r="M22" s="115" t="n">
        <f aca="false">IFERROR(Assumptions!$B$48*(1+Assumptions!$B$37)^(M6-1),"")</f>
        <v>0</v>
      </c>
      <c r="N22" s="115" t="n">
        <f aca="false">IFERROR(Assumptions!$B$48*(1+Assumptions!$B$37)^(N6-1),"")</f>
        <v>0</v>
      </c>
      <c r="O22" s="115" t="n">
        <f aca="false">IFERROR(Assumptions!$B$48*(1+Assumptions!$B$37)^(O6-1),"")</f>
        <v>0</v>
      </c>
      <c r="P22" s="115" t="n">
        <f aca="false">IFERROR(Assumptions!$B$48*(1+Assumptions!$B$37)^(P6-1),"")</f>
        <v>0</v>
      </c>
      <c r="Q22" s="115" t="n">
        <f aca="false">IFERROR(Assumptions!$B$48*(1+Assumptions!$B$37)^(Q6-1),"")</f>
        <v>0</v>
      </c>
      <c r="R22" s="115" t="n">
        <f aca="false">IFERROR(Assumptions!$B$48*(1+Assumptions!$B$37)^(R6-1),"")</f>
        <v>0</v>
      </c>
      <c r="S22" s="115" t="n">
        <f aca="false">IFERROR(Assumptions!$B$48*(1+Assumptions!$B$37)^(S6-1),"")</f>
        <v>0</v>
      </c>
      <c r="T22" s="115" t="n">
        <f aca="false">IFERROR(Assumptions!$B$48*(1+Assumptions!$B$37)^(T6-1),"")</f>
        <v>0</v>
      </c>
      <c r="U22" s="115" t="n">
        <f aca="false">IFERROR(Assumptions!$B$48*(1+Assumptions!$B$37)^(U6-1),"")</f>
        <v>0</v>
      </c>
      <c r="V22" s="115" t="n">
        <f aca="false">IFERROR(Assumptions!$B$48*(1+Assumptions!$B$37)^(V6-1),"")</f>
        <v>0</v>
      </c>
      <c r="W22" s="115" t="n">
        <f aca="false">IFERROR(Assumptions!$B$48*(1+Assumptions!$B$37)^(W6-1),"")</f>
        <v>0</v>
      </c>
      <c r="X22" s="115" t="n">
        <f aca="false">IFERROR(Assumptions!$B$48*(1+Assumptions!$B$37)^(X6-1),"")</f>
        <v>0</v>
      </c>
      <c r="Y22" s="115" t="n">
        <f aca="false">IFERROR(Assumptions!$B$48*(1+Assumptions!$B$37)^(Y6-1),"")</f>
        <v>0</v>
      </c>
      <c r="Z22" s="115" t="n">
        <f aca="false">IFERROR(Assumptions!$B$48*(1+Assumptions!$B$37)^(Z6-1),"")</f>
        <v>0</v>
      </c>
      <c r="AA22" s="115" t="n">
        <f aca="false">IFERROR(Assumptions!$B$48*(1+Assumptions!$B$37)^(AA6-1),"")</f>
        <v>0</v>
      </c>
      <c r="AB22" s="115" t="n">
        <f aca="false">IFERROR(Assumptions!$B$48*(1+Assumptions!$B$37)^(AB6-1),"")</f>
        <v>0</v>
      </c>
      <c r="AC22" s="115" t="n">
        <f aca="false">IFERROR(Assumptions!$B$48*(1+Assumptions!$B$37)^(AC6-1),"")</f>
        <v>0</v>
      </c>
      <c r="AD22" s="115" t="n">
        <f aca="false">IFERROR(Assumptions!$B$48*(1+Assumptions!$B$37)^(AD6-1),"")</f>
        <v>0</v>
      </c>
      <c r="AE22" s="115" t="n">
        <f aca="false">IFERROR(Assumptions!$B$48*(1+Assumptions!$B$37)^(AE6-1),"")</f>
        <v>0</v>
      </c>
      <c r="AF22" s="115" t="n">
        <f aca="false">IFERROR(Assumptions!$B$48*(1+Assumptions!$B$37)^(AF6-1),"")</f>
        <v>0</v>
      </c>
      <c r="AG22" s="115" t="n">
        <f aca="false">IFERROR(Assumptions!$B$48*(1+Assumptions!$B$37)^(AG6-1),"")</f>
        <v>0</v>
      </c>
      <c r="AH22" s="115" t="n">
        <f aca="false">IFERROR(Assumptions!$B$48*(1+Assumptions!$B$37)^(AH6-1),"")</f>
        <v>0</v>
      </c>
      <c r="AI22" s="115" t="n">
        <f aca="false">IFERROR(Assumptions!$B$48*(1+Assumptions!$B$37)^(AI6-1),"")</f>
        <v>0</v>
      </c>
      <c r="AJ22" s="115" t="n">
        <f aca="false">IFERROR(Assumptions!$B$48*(1+Assumptions!$B$37)^(AJ6-1),"")</f>
        <v>0</v>
      </c>
      <c r="AK22" s="115" t="n">
        <f aca="false">IFERROR(Assumptions!$B$48*(1+Assumptions!$B$37)^(AK6-1),"")</f>
        <v>0</v>
      </c>
      <c r="AL22" s="115" t="n">
        <f aca="false">IFERROR(Assumptions!$B$48*(1+Assumptions!$B$37)^(AL6-1),"")</f>
        <v>0</v>
      </c>
      <c r="AM22" s="115" t="n">
        <f aca="false">IFERROR(Assumptions!$B$48*(1+Assumptions!$B$37)^(AM6-1),"")</f>
        <v>0</v>
      </c>
      <c r="AN22" s="115" t="n">
        <f aca="false">IFERROR(Assumptions!$B$48*(1+Assumptions!$B$37)^(AN6-1),"")</f>
        <v>0</v>
      </c>
      <c r="AO22" s="115" t="n">
        <f aca="false">IFERROR(Assumptions!$B$48*(1+Assumptions!$B$37)^(AO6-1),"")</f>
        <v>0</v>
      </c>
      <c r="AP22" s="115" t="n">
        <f aca="false">IFERROR(Assumptions!$B$48*(1+Assumptions!$B$37)^(AP6-1),"")</f>
        <v>0</v>
      </c>
      <c r="AQ22" s="115" t="n">
        <f aca="false">IFERROR(Assumptions!$B$48*(1+Assumptions!$B$37)^(AQ6-1),"")</f>
        <v>0</v>
      </c>
      <c r="AR22" s="115" t="n">
        <f aca="false">IFERROR(Assumptions!$B$48*(1+Assumptions!$B$37)^(AR6-1),"")</f>
        <v>0</v>
      </c>
      <c r="AS22" s="115" t="n">
        <f aca="false">IFERROR(Assumptions!$B$48*(1+Assumptions!$B$37)^(AS6-1),"")</f>
        <v>0</v>
      </c>
      <c r="AT22" s="115" t="n">
        <f aca="false">IFERROR(Assumptions!$B$48*(1+Assumptions!$B$37)^(AT6-1),"")</f>
        <v>0</v>
      </c>
      <c r="AU22" s="115" t="n">
        <f aca="false">IFERROR(Assumptions!$B$48*(1+Assumptions!$B$37)^(AU6-1),"")</f>
        <v>0</v>
      </c>
      <c r="AV22" s="115" t="n">
        <f aca="false">IFERROR(Assumptions!$B$48*(1+Assumptions!$B$37)^(AV6-1),"")</f>
        <v>0</v>
      </c>
      <c r="AW22" s="115" t="n">
        <f aca="false">IFERROR(Assumptions!$B$48*(1+Assumptions!$B$37)^(AW6-1),"")</f>
        <v>0</v>
      </c>
      <c r="AX22" s="115" t="n">
        <f aca="false">IFERROR(Assumptions!$B$48*(1+Assumptions!$B$37)^(AX6-1),"")</f>
        <v>0</v>
      </c>
      <c r="AY22" s="115" t="n">
        <f aca="false">IFERROR(Assumptions!$B$48*(1+Assumptions!$B$37)^(AY6-1),"")</f>
        <v>0</v>
      </c>
      <c r="AZ22" s="115" t="n">
        <f aca="false">IFERROR(Assumptions!$B$48*(1+Assumptions!$B$37)^(AZ6-1),"")</f>
        <v>0</v>
      </c>
      <c r="BA22" s="115" t="n">
        <f aca="false">IFERROR(Assumptions!$B$48*(1+Assumptions!$B$37)^(BA6-1),"")</f>
        <v>0</v>
      </c>
      <c r="BB22" s="115" t="n">
        <f aca="false">IFERROR(Assumptions!$B$48*(1+Assumptions!$B$37)^(BB6-1),"")</f>
        <v>0</v>
      </c>
      <c r="BC22" s="115" t="n">
        <f aca="false">IFERROR(Assumptions!$B$48*(1+Assumptions!$B$37)^(BC6-1),"")</f>
        <v>0</v>
      </c>
      <c r="BD22" s="115" t="n">
        <f aca="false">IFERROR(Assumptions!$B$48*(1+Assumptions!$B$37)^(BD6-1),"")</f>
        <v>0</v>
      </c>
      <c r="BE22" s="115" t="n">
        <f aca="false">IFERROR(Assumptions!$B$48*(1+Assumptions!$B$37)^(BE6-1),"")</f>
        <v>0</v>
      </c>
      <c r="BF22" s="115" t="n">
        <f aca="false">IFERROR(Assumptions!$B$48*(1+Assumptions!$B$37)^(BF6-1),"")</f>
        <v>0</v>
      </c>
      <c r="BG22" s="115" t="n">
        <f aca="false">IFERROR(Assumptions!$B$48*(1+Assumptions!$B$37)^(BG6-1),"")</f>
        <v>0</v>
      </c>
      <c r="BH22" s="115" t="n">
        <f aca="false">IFERROR(Assumptions!$B$48*(1+Assumptions!$B$37)^(BH6-1),"")</f>
        <v>0</v>
      </c>
      <c r="BI22" s="115" t="n">
        <f aca="false">IFERROR(Assumptions!$B$48*(1+Assumptions!$B$37)^(BI6-1),"")</f>
        <v>0</v>
      </c>
      <c r="BJ22" s="115" t="n">
        <f aca="false">IFERROR(Assumptions!$B$48*(1+Assumptions!$B$37)^(BJ6-1),"")</f>
        <v>0</v>
      </c>
    </row>
    <row r="23" customFormat="false" ht="15" hidden="false" customHeight="true" outlineLevel="0" collapsed="false">
      <c r="A23" s="114" t="s">
        <v>164</v>
      </c>
      <c r="B23" s="111" t="s">
        <v>289</v>
      </c>
      <c r="C23" s="115" t="n">
        <f aca="false">IFERROR(C8*Assumptions!$B$49,"")</f>
        <v>0</v>
      </c>
      <c r="D23" s="115" t="n">
        <f aca="false">IFERROR(D8*Assumptions!$B$49,"")</f>
        <v>0</v>
      </c>
      <c r="E23" s="115" t="n">
        <f aca="false">IFERROR(E8*Assumptions!$B$49,"")</f>
        <v>0</v>
      </c>
      <c r="F23" s="115" t="n">
        <f aca="false">IFERROR(F8*Assumptions!$B$49,"")</f>
        <v>0</v>
      </c>
      <c r="G23" s="115" t="n">
        <f aca="false">IFERROR(G8*Assumptions!$B$49,"")</f>
        <v>0</v>
      </c>
      <c r="H23" s="115" t="n">
        <f aca="false">IFERROR(H8*Assumptions!$B$49,"")</f>
        <v>0</v>
      </c>
      <c r="I23" s="115" t="n">
        <f aca="false">IFERROR(I8*Assumptions!$B$49,"")</f>
        <v>0</v>
      </c>
      <c r="J23" s="115" t="n">
        <f aca="false">IFERROR(J8*Assumptions!$B$49,"")</f>
        <v>0</v>
      </c>
      <c r="K23" s="115" t="n">
        <f aca="false">IFERROR(K8*Assumptions!$B$49,"")</f>
        <v>0</v>
      </c>
      <c r="L23" s="115" t="n">
        <f aca="false">IFERROR(L8*Assumptions!$B$49,"")</f>
        <v>0</v>
      </c>
      <c r="M23" s="115" t="n">
        <f aca="false">IFERROR(M8*Assumptions!$B$49,"")</f>
        <v>0</v>
      </c>
      <c r="N23" s="115" t="n">
        <f aca="false">IFERROR(N8*Assumptions!$B$49,"")</f>
        <v>0</v>
      </c>
      <c r="O23" s="115" t="n">
        <f aca="false">IFERROR(O8*Assumptions!$B$49,"")</f>
        <v>0</v>
      </c>
      <c r="P23" s="115" t="n">
        <f aca="false">IFERROR(P8*Assumptions!$B$49,"")</f>
        <v>0</v>
      </c>
      <c r="Q23" s="115" t="n">
        <f aca="false">IFERROR(Q8*Assumptions!$B$49,"")</f>
        <v>0</v>
      </c>
      <c r="R23" s="115" t="n">
        <f aca="false">IFERROR(R8*Assumptions!$B$49,"")</f>
        <v>0</v>
      </c>
      <c r="S23" s="115" t="n">
        <f aca="false">IFERROR(S8*Assumptions!$B$49,"")</f>
        <v>0</v>
      </c>
      <c r="T23" s="115" t="n">
        <f aca="false">IFERROR(T8*Assumptions!$B$49,"")</f>
        <v>0</v>
      </c>
      <c r="U23" s="115" t="n">
        <f aca="false">IFERROR(U8*Assumptions!$B$49,"")</f>
        <v>0</v>
      </c>
      <c r="V23" s="115" t="n">
        <f aca="false">IFERROR(V8*Assumptions!$B$49,"")</f>
        <v>0</v>
      </c>
      <c r="W23" s="115" t="n">
        <f aca="false">IFERROR(W8*Assumptions!$B$49,"")</f>
        <v>0</v>
      </c>
      <c r="X23" s="115" t="n">
        <f aca="false">IFERROR(X8*Assumptions!$B$49,"")</f>
        <v>0</v>
      </c>
      <c r="Y23" s="115" t="n">
        <f aca="false">IFERROR(Y8*Assumptions!$B$49,"")</f>
        <v>0</v>
      </c>
      <c r="Z23" s="115" t="n">
        <f aca="false">IFERROR(Z8*Assumptions!$B$49,"")</f>
        <v>0</v>
      </c>
      <c r="AA23" s="115" t="n">
        <f aca="false">IFERROR(AA8*Assumptions!$B$49,"")</f>
        <v>0</v>
      </c>
      <c r="AB23" s="115" t="n">
        <f aca="false">IFERROR(AB8*Assumptions!$B$49,"")</f>
        <v>0</v>
      </c>
      <c r="AC23" s="115" t="n">
        <f aca="false">IFERROR(AC8*Assumptions!$B$49,"")</f>
        <v>0</v>
      </c>
      <c r="AD23" s="115" t="n">
        <f aca="false">IFERROR(AD8*Assumptions!$B$49,"")</f>
        <v>0</v>
      </c>
      <c r="AE23" s="115" t="n">
        <f aca="false">IFERROR(AE8*Assumptions!$B$49,"")</f>
        <v>0</v>
      </c>
      <c r="AF23" s="115" t="n">
        <f aca="false">IFERROR(AF8*Assumptions!$B$49,"")</f>
        <v>0</v>
      </c>
      <c r="AG23" s="115" t="n">
        <f aca="false">IFERROR(AG8*Assumptions!$B$49,"")</f>
        <v>0</v>
      </c>
      <c r="AH23" s="115" t="n">
        <f aca="false">IFERROR(AH8*Assumptions!$B$49,"")</f>
        <v>0</v>
      </c>
      <c r="AI23" s="115" t="n">
        <f aca="false">IFERROR(AI8*Assumptions!$B$49,"")</f>
        <v>0</v>
      </c>
      <c r="AJ23" s="115" t="n">
        <f aca="false">IFERROR(AJ8*Assumptions!$B$49,"")</f>
        <v>0</v>
      </c>
      <c r="AK23" s="115" t="n">
        <f aca="false">IFERROR(AK8*Assumptions!$B$49,"")</f>
        <v>0</v>
      </c>
      <c r="AL23" s="115" t="n">
        <f aca="false">IFERROR(AL8*Assumptions!$B$49,"")</f>
        <v>0</v>
      </c>
      <c r="AM23" s="115" t="n">
        <f aca="false">IFERROR(AM8*Assumptions!$B$49,"")</f>
        <v>0</v>
      </c>
      <c r="AN23" s="115" t="n">
        <f aca="false">IFERROR(AN8*Assumptions!$B$49,"")</f>
        <v>0</v>
      </c>
      <c r="AO23" s="115" t="n">
        <f aca="false">IFERROR(AO8*Assumptions!$B$49,"")</f>
        <v>0</v>
      </c>
      <c r="AP23" s="115" t="n">
        <f aca="false">IFERROR(AP8*Assumptions!$B$49,"")</f>
        <v>0</v>
      </c>
      <c r="AQ23" s="115" t="n">
        <f aca="false">IFERROR(AQ8*Assumptions!$B$49,"")</f>
        <v>0</v>
      </c>
      <c r="AR23" s="115" t="n">
        <f aca="false">IFERROR(AR8*Assumptions!$B$49,"")</f>
        <v>0</v>
      </c>
      <c r="AS23" s="115" t="n">
        <f aca="false">IFERROR(AS8*Assumptions!$B$49,"")</f>
        <v>0</v>
      </c>
      <c r="AT23" s="115" t="n">
        <f aca="false">IFERROR(AT8*Assumptions!$B$49,"")</f>
        <v>0</v>
      </c>
      <c r="AU23" s="115" t="n">
        <f aca="false">IFERROR(AU8*Assumptions!$B$49,"")</f>
        <v>0</v>
      </c>
      <c r="AV23" s="115" t="n">
        <f aca="false">IFERROR(AV8*Assumptions!$B$49,"")</f>
        <v>0</v>
      </c>
      <c r="AW23" s="115" t="n">
        <f aca="false">IFERROR(AW8*Assumptions!$B$49,"")</f>
        <v>0</v>
      </c>
      <c r="AX23" s="115" t="n">
        <f aca="false">IFERROR(AX8*Assumptions!$B$49,"")</f>
        <v>0</v>
      </c>
      <c r="AY23" s="115" t="n">
        <f aca="false">IFERROR(AY8*Assumptions!$B$49,"")</f>
        <v>0</v>
      </c>
      <c r="AZ23" s="115" t="n">
        <f aca="false">IFERROR(AZ8*Assumptions!$B$49,"")</f>
        <v>0</v>
      </c>
      <c r="BA23" s="115" t="n">
        <f aca="false">IFERROR(BA8*Assumptions!$B$49,"")</f>
        <v>0</v>
      </c>
      <c r="BB23" s="115" t="n">
        <f aca="false">IFERROR(BB8*Assumptions!$B$49,"")</f>
        <v>0</v>
      </c>
      <c r="BC23" s="115" t="n">
        <f aca="false">IFERROR(BC8*Assumptions!$B$49,"")</f>
        <v>0</v>
      </c>
      <c r="BD23" s="115" t="n">
        <f aca="false">IFERROR(BD8*Assumptions!$B$49,"")</f>
        <v>0</v>
      </c>
      <c r="BE23" s="115" t="n">
        <f aca="false">IFERROR(BE8*Assumptions!$B$49,"")</f>
        <v>0</v>
      </c>
      <c r="BF23" s="115" t="n">
        <f aca="false">IFERROR(BF8*Assumptions!$B$49,"")</f>
        <v>0</v>
      </c>
      <c r="BG23" s="115" t="n">
        <f aca="false">IFERROR(BG8*Assumptions!$B$49,"")</f>
        <v>0</v>
      </c>
      <c r="BH23" s="115" t="n">
        <f aca="false">IFERROR(BH8*Assumptions!$B$49,"")</f>
        <v>0</v>
      </c>
      <c r="BI23" s="115" t="n">
        <f aca="false">IFERROR(BI8*Assumptions!$B$49,"")</f>
        <v>0</v>
      </c>
      <c r="BJ23" s="115" t="n">
        <f aca="false">IFERROR(BJ8*Assumptions!$B$49,"")</f>
        <v>0</v>
      </c>
    </row>
    <row r="24" customFormat="false" ht="15" hidden="false" customHeight="true" outlineLevel="0" collapsed="false">
      <c r="A24" s="112" t="s">
        <v>311</v>
      </c>
      <c r="B24" s="111" t="s">
        <v>289</v>
      </c>
      <c r="C24" s="122" t="n">
        <f aca="false">IFERROR(SUM(C18:C23),"")</f>
        <v>0</v>
      </c>
      <c r="D24" s="122" t="n">
        <f aca="false">IFERROR(SUM(D18:D23),"")</f>
        <v>0</v>
      </c>
      <c r="E24" s="122" t="n">
        <f aca="false">IFERROR(SUM(E18:E23),"")</f>
        <v>0</v>
      </c>
      <c r="F24" s="122" t="n">
        <f aca="false">IFERROR(SUM(F18:F23),"")</f>
        <v>0</v>
      </c>
      <c r="G24" s="122" t="n">
        <f aca="false">IFERROR(SUM(G18:G23),"")</f>
        <v>0</v>
      </c>
      <c r="H24" s="122" t="n">
        <f aca="false">IFERROR(SUM(H18:H23),"")</f>
        <v>0</v>
      </c>
      <c r="I24" s="122" t="n">
        <f aca="false">IFERROR(SUM(I18:I23),"")</f>
        <v>0</v>
      </c>
      <c r="J24" s="122" t="n">
        <f aca="false">IFERROR(SUM(J18:J23),"")</f>
        <v>0</v>
      </c>
      <c r="K24" s="122" t="n">
        <f aca="false">IFERROR(SUM(K18:K23),"")</f>
        <v>0</v>
      </c>
      <c r="L24" s="122" t="n">
        <f aca="false">IFERROR(SUM(L18:L23),"")</f>
        <v>0</v>
      </c>
      <c r="M24" s="122" t="n">
        <f aca="false">IFERROR(SUM(M18:M23),"")</f>
        <v>0</v>
      </c>
      <c r="N24" s="122" t="n">
        <f aca="false">IFERROR(SUM(N18:N23),"")</f>
        <v>0</v>
      </c>
      <c r="O24" s="122" t="n">
        <f aca="false">IFERROR(SUM(O18:O23),"")</f>
        <v>0</v>
      </c>
      <c r="P24" s="122" t="n">
        <f aca="false">IFERROR(SUM(P18:P23),"")</f>
        <v>0</v>
      </c>
      <c r="Q24" s="122" t="n">
        <f aca="false">IFERROR(SUM(Q18:Q23),"")</f>
        <v>0</v>
      </c>
      <c r="R24" s="122" t="n">
        <f aca="false">IFERROR(SUM(R18:R23),"")</f>
        <v>0</v>
      </c>
      <c r="S24" s="122" t="n">
        <f aca="false">IFERROR(SUM(S18:S23),"")</f>
        <v>0</v>
      </c>
      <c r="T24" s="122" t="n">
        <f aca="false">IFERROR(SUM(T18:T23),"")</f>
        <v>0</v>
      </c>
      <c r="U24" s="122" t="n">
        <f aca="false">IFERROR(SUM(U18:U23),"")</f>
        <v>0</v>
      </c>
      <c r="V24" s="122" t="n">
        <f aca="false">IFERROR(SUM(V18:V23),"")</f>
        <v>0</v>
      </c>
      <c r="W24" s="122" t="n">
        <f aca="false">IFERROR(SUM(W18:W23),"")</f>
        <v>0</v>
      </c>
      <c r="X24" s="122" t="n">
        <f aca="false">IFERROR(SUM(X18:X23),"")</f>
        <v>0</v>
      </c>
      <c r="Y24" s="122" t="n">
        <f aca="false">IFERROR(SUM(Y18:Y23),"")</f>
        <v>0</v>
      </c>
      <c r="Z24" s="122" t="n">
        <f aca="false">IFERROR(SUM(Z18:Z23),"")</f>
        <v>0</v>
      </c>
      <c r="AA24" s="122" t="n">
        <f aca="false">IFERROR(SUM(AA18:AA23),"")</f>
        <v>0</v>
      </c>
      <c r="AB24" s="122" t="n">
        <f aca="false">IFERROR(SUM(AB18:AB23),"")</f>
        <v>0</v>
      </c>
      <c r="AC24" s="122" t="n">
        <f aca="false">IFERROR(SUM(AC18:AC23),"")</f>
        <v>0</v>
      </c>
      <c r="AD24" s="122" t="n">
        <f aca="false">IFERROR(SUM(AD18:AD23),"")</f>
        <v>0</v>
      </c>
      <c r="AE24" s="122" t="n">
        <f aca="false">IFERROR(SUM(AE18:AE23),"")</f>
        <v>0</v>
      </c>
      <c r="AF24" s="122" t="n">
        <f aca="false">IFERROR(SUM(AF18:AF23),"")</f>
        <v>0</v>
      </c>
      <c r="AG24" s="122" t="n">
        <f aca="false">IFERROR(SUM(AG18:AG23),"")</f>
        <v>0</v>
      </c>
      <c r="AH24" s="122" t="n">
        <f aca="false">IFERROR(SUM(AH18:AH23),"")</f>
        <v>0</v>
      </c>
      <c r="AI24" s="122" t="n">
        <f aca="false">IFERROR(SUM(AI18:AI23),"")</f>
        <v>0</v>
      </c>
      <c r="AJ24" s="122" t="n">
        <f aca="false">IFERROR(SUM(AJ18:AJ23),"")</f>
        <v>0</v>
      </c>
      <c r="AK24" s="122" t="n">
        <f aca="false">IFERROR(SUM(AK18:AK23),"")</f>
        <v>0</v>
      </c>
      <c r="AL24" s="122" t="n">
        <f aca="false">IFERROR(SUM(AL18:AL23),"")</f>
        <v>0</v>
      </c>
      <c r="AM24" s="122" t="n">
        <f aca="false">IFERROR(SUM(AM18:AM23),"")</f>
        <v>0</v>
      </c>
      <c r="AN24" s="122" t="n">
        <f aca="false">IFERROR(SUM(AN18:AN23),"")</f>
        <v>0</v>
      </c>
      <c r="AO24" s="122" t="n">
        <f aca="false">IFERROR(SUM(AO18:AO23),"")</f>
        <v>0</v>
      </c>
      <c r="AP24" s="122" t="n">
        <f aca="false">IFERROR(SUM(AP18:AP23),"")</f>
        <v>0</v>
      </c>
      <c r="AQ24" s="122" t="n">
        <f aca="false">IFERROR(SUM(AQ18:AQ23),"")</f>
        <v>0</v>
      </c>
      <c r="AR24" s="122" t="n">
        <f aca="false">IFERROR(SUM(AR18:AR23),"")</f>
        <v>0</v>
      </c>
      <c r="AS24" s="122" t="n">
        <f aca="false">IFERROR(SUM(AS18:AS23),"")</f>
        <v>0</v>
      </c>
      <c r="AT24" s="122" t="n">
        <f aca="false">IFERROR(SUM(AT18:AT23),"")</f>
        <v>0</v>
      </c>
      <c r="AU24" s="122" t="n">
        <f aca="false">IFERROR(SUM(AU18:AU23),"")</f>
        <v>0</v>
      </c>
      <c r="AV24" s="122" t="n">
        <f aca="false">IFERROR(SUM(AV18:AV23),"")</f>
        <v>0</v>
      </c>
      <c r="AW24" s="122" t="n">
        <f aca="false">IFERROR(SUM(AW18:AW23),"")</f>
        <v>0</v>
      </c>
      <c r="AX24" s="122" t="n">
        <f aca="false">IFERROR(SUM(AX18:AX23),"")</f>
        <v>0</v>
      </c>
      <c r="AY24" s="122" t="n">
        <f aca="false">IFERROR(SUM(AY18:AY23),"")</f>
        <v>0</v>
      </c>
      <c r="AZ24" s="122" t="n">
        <f aca="false">IFERROR(SUM(AZ18:AZ23),"")</f>
        <v>0</v>
      </c>
      <c r="BA24" s="122" t="n">
        <f aca="false">IFERROR(SUM(BA18:BA23),"")</f>
        <v>0</v>
      </c>
      <c r="BB24" s="122" t="n">
        <f aca="false">IFERROR(SUM(BB18:BB23),"")</f>
        <v>0</v>
      </c>
      <c r="BC24" s="122" t="n">
        <f aca="false">IFERROR(SUM(BC18:BC23),"")</f>
        <v>0</v>
      </c>
      <c r="BD24" s="122" t="n">
        <f aca="false">IFERROR(SUM(BD18:BD23),"")</f>
        <v>0</v>
      </c>
      <c r="BE24" s="122" t="n">
        <f aca="false">IFERROR(SUM(BE18:BE23),"")</f>
        <v>0</v>
      </c>
      <c r="BF24" s="122" t="n">
        <f aca="false">IFERROR(SUM(BF18:BF23),"")</f>
        <v>0</v>
      </c>
      <c r="BG24" s="122" t="n">
        <f aca="false">IFERROR(SUM(BG18:BG23),"")</f>
        <v>0</v>
      </c>
      <c r="BH24" s="122" t="n">
        <f aca="false">IFERROR(SUM(BH18:BH23),"")</f>
        <v>0</v>
      </c>
      <c r="BI24" s="122" t="n">
        <f aca="false">IFERROR(SUM(BI18:BI23),"")</f>
        <v>0</v>
      </c>
      <c r="BJ24" s="122" t="n">
        <f aca="false">IFERROR(SUM(BJ18:BJ23),"")</f>
        <v>0</v>
      </c>
    </row>
    <row r="25" customFormat="false" ht="15" hidden="false" customHeight="true" outlineLevel="0" collapsed="false">
      <c r="A25" s="120" t="s">
        <v>312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1"/>
      <c r="BA25" s="121"/>
      <c r="BB25" s="121"/>
      <c r="BC25" s="121"/>
      <c r="BD25" s="121"/>
      <c r="BE25" s="121"/>
      <c r="BF25" s="121"/>
      <c r="BG25" s="121"/>
      <c r="BH25" s="121"/>
      <c r="BI25" s="121"/>
      <c r="BJ25" s="121"/>
    </row>
    <row r="26" customFormat="false" ht="15" hidden="false" customHeight="true" outlineLevel="0" collapsed="false">
      <c r="A26" s="112" t="s">
        <v>313</v>
      </c>
      <c r="B26" s="111" t="s">
        <v>289</v>
      </c>
      <c r="C26" s="122" t="n">
        <f aca="false">IFERROR(C15-C24,"")</f>
        <v>0</v>
      </c>
      <c r="D26" s="122" t="n">
        <f aca="false">IFERROR(D15-D24,"")</f>
        <v>0</v>
      </c>
      <c r="E26" s="122" t="n">
        <f aca="false">IFERROR(E15-E24,"")</f>
        <v>0</v>
      </c>
      <c r="F26" s="122" t="n">
        <f aca="false">IFERROR(F15-F24,"")</f>
        <v>0</v>
      </c>
      <c r="G26" s="122" t="n">
        <f aca="false">IFERROR(G15-G24,"")</f>
        <v>0</v>
      </c>
      <c r="H26" s="122" t="n">
        <f aca="false">IFERROR(H15-H24,"")</f>
        <v>0</v>
      </c>
      <c r="I26" s="122" t="n">
        <f aca="false">IFERROR(I15-I24,"")</f>
        <v>0</v>
      </c>
      <c r="J26" s="122" t="n">
        <f aca="false">IFERROR(J15-J24,"")</f>
        <v>0</v>
      </c>
      <c r="K26" s="122" t="n">
        <f aca="false">IFERROR(K15-K24,"")</f>
        <v>0</v>
      </c>
      <c r="L26" s="122" t="n">
        <f aca="false">IFERROR(L15-L24,"")</f>
        <v>0</v>
      </c>
      <c r="M26" s="122" t="n">
        <f aca="false">IFERROR(M15-M24,"")</f>
        <v>0</v>
      </c>
      <c r="N26" s="122" t="n">
        <f aca="false">IFERROR(N15-N24,"")</f>
        <v>0</v>
      </c>
      <c r="O26" s="122" t="n">
        <f aca="false">IFERROR(O15-O24,"")</f>
        <v>0</v>
      </c>
      <c r="P26" s="122" t="n">
        <f aca="false">IFERROR(P15-P24,"")</f>
        <v>0</v>
      </c>
      <c r="Q26" s="122" t="n">
        <f aca="false">IFERROR(Q15-Q24,"")</f>
        <v>0</v>
      </c>
      <c r="R26" s="122" t="n">
        <f aca="false">IFERROR(R15-R24,"")</f>
        <v>0</v>
      </c>
      <c r="S26" s="122" t="n">
        <f aca="false">IFERROR(S15-S24,"")</f>
        <v>0</v>
      </c>
      <c r="T26" s="122" t="n">
        <f aca="false">IFERROR(T15-T24,"")</f>
        <v>0</v>
      </c>
      <c r="U26" s="122" t="n">
        <f aca="false">IFERROR(U15-U24,"")</f>
        <v>0</v>
      </c>
      <c r="V26" s="122" t="n">
        <f aca="false">IFERROR(V15-V24,"")</f>
        <v>0</v>
      </c>
      <c r="W26" s="122" t="n">
        <f aca="false">IFERROR(W15-W24,"")</f>
        <v>0</v>
      </c>
      <c r="X26" s="122" t="n">
        <f aca="false">IFERROR(X15-X24,"")</f>
        <v>0</v>
      </c>
      <c r="Y26" s="122" t="n">
        <f aca="false">IFERROR(Y15-Y24,"")</f>
        <v>0</v>
      </c>
      <c r="Z26" s="122" t="n">
        <f aca="false">IFERROR(Z15-Z24,"")</f>
        <v>0</v>
      </c>
      <c r="AA26" s="122" t="n">
        <f aca="false">IFERROR(AA15-AA24,"")</f>
        <v>0</v>
      </c>
      <c r="AB26" s="122" t="n">
        <f aca="false">IFERROR(AB15-AB24,"")</f>
        <v>0</v>
      </c>
      <c r="AC26" s="122" t="n">
        <f aca="false">IFERROR(AC15-AC24,"")</f>
        <v>0</v>
      </c>
      <c r="AD26" s="122" t="n">
        <f aca="false">IFERROR(AD15-AD24,"")</f>
        <v>0</v>
      </c>
      <c r="AE26" s="122" t="n">
        <f aca="false">IFERROR(AE15-AE24,"")</f>
        <v>0</v>
      </c>
      <c r="AF26" s="122" t="n">
        <f aca="false">IFERROR(AF15-AF24,"")</f>
        <v>0</v>
      </c>
      <c r="AG26" s="122" t="n">
        <f aca="false">IFERROR(AG15-AG24,"")</f>
        <v>0</v>
      </c>
      <c r="AH26" s="122" t="n">
        <f aca="false">IFERROR(AH15-AH24,"")</f>
        <v>0</v>
      </c>
      <c r="AI26" s="122" t="n">
        <f aca="false">IFERROR(AI15-AI24,"")</f>
        <v>0</v>
      </c>
      <c r="AJ26" s="122" t="n">
        <f aca="false">IFERROR(AJ15-AJ24,"")</f>
        <v>0</v>
      </c>
      <c r="AK26" s="122" t="n">
        <f aca="false">IFERROR(AK15-AK24,"")</f>
        <v>0</v>
      </c>
      <c r="AL26" s="122" t="n">
        <f aca="false">IFERROR(AL15-AL24,"")</f>
        <v>0</v>
      </c>
      <c r="AM26" s="122" t="n">
        <f aca="false">IFERROR(AM15-AM24,"")</f>
        <v>0</v>
      </c>
      <c r="AN26" s="122" t="n">
        <f aca="false">IFERROR(AN15-AN24,"")</f>
        <v>0</v>
      </c>
      <c r="AO26" s="122" t="n">
        <f aca="false">IFERROR(AO15-AO24,"")</f>
        <v>0</v>
      </c>
      <c r="AP26" s="122" t="n">
        <f aca="false">IFERROR(AP15-AP24,"")</f>
        <v>0</v>
      </c>
      <c r="AQ26" s="122" t="n">
        <f aca="false">IFERROR(AQ15-AQ24,"")</f>
        <v>0</v>
      </c>
      <c r="AR26" s="122" t="n">
        <f aca="false">IFERROR(AR15-AR24,"")</f>
        <v>0</v>
      </c>
      <c r="AS26" s="122" t="n">
        <f aca="false">IFERROR(AS15-AS24,"")</f>
        <v>0</v>
      </c>
      <c r="AT26" s="122" t="n">
        <f aca="false">IFERROR(AT15-AT24,"")</f>
        <v>0</v>
      </c>
      <c r="AU26" s="122" t="n">
        <f aca="false">IFERROR(AU15-AU24,"")</f>
        <v>0</v>
      </c>
      <c r="AV26" s="122" t="n">
        <f aca="false">IFERROR(AV15-AV24,"")</f>
        <v>0</v>
      </c>
      <c r="AW26" s="122" t="n">
        <f aca="false">IFERROR(AW15-AW24,"")</f>
        <v>0</v>
      </c>
      <c r="AX26" s="122" t="n">
        <f aca="false">IFERROR(AX15-AX24,"")</f>
        <v>0</v>
      </c>
      <c r="AY26" s="122" t="n">
        <f aca="false">IFERROR(AY15-AY24,"")</f>
        <v>0</v>
      </c>
      <c r="AZ26" s="122" t="n">
        <f aca="false">IFERROR(AZ15-AZ24,"")</f>
        <v>0</v>
      </c>
      <c r="BA26" s="122" t="n">
        <f aca="false">IFERROR(BA15-BA24,"")</f>
        <v>0</v>
      </c>
      <c r="BB26" s="122" t="n">
        <f aca="false">IFERROR(BB15-BB24,"")</f>
        <v>0</v>
      </c>
      <c r="BC26" s="122" t="n">
        <f aca="false">IFERROR(BC15-BC24,"")</f>
        <v>0</v>
      </c>
      <c r="BD26" s="122" t="n">
        <f aca="false">IFERROR(BD15-BD24,"")</f>
        <v>0</v>
      </c>
      <c r="BE26" s="122" t="n">
        <f aca="false">IFERROR(BE15-BE24,"")</f>
        <v>0</v>
      </c>
      <c r="BF26" s="122" t="n">
        <f aca="false">IFERROR(BF15-BF24,"")</f>
        <v>0</v>
      </c>
      <c r="BG26" s="122" t="n">
        <f aca="false">IFERROR(BG15-BG24,"")</f>
        <v>0</v>
      </c>
      <c r="BH26" s="122" t="n">
        <f aca="false">IFERROR(BH15-BH24,"")</f>
        <v>0</v>
      </c>
      <c r="BI26" s="122" t="n">
        <f aca="false">IFERROR(BI15-BI24,"")</f>
        <v>0</v>
      </c>
      <c r="BJ26" s="122" t="n">
        <f aca="false">IFERROR(BJ15-BJ24,"")</f>
        <v>0</v>
      </c>
    </row>
    <row r="27" customFormat="false" ht="15" hidden="false" customHeight="true" outlineLevel="0" collapsed="false">
      <c r="A27" s="114" t="s">
        <v>314</v>
      </c>
      <c r="B27" s="111" t="s">
        <v>112</v>
      </c>
      <c r="C27" s="116" t="n">
        <f aca="false">IFERROR(IF(C8=0,0,C26/C8),"")</f>
        <v>0</v>
      </c>
      <c r="D27" s="116" t="n">
        <f aca="false">IFERROR(IF(D8=0,0,D26/D8),"")</f>
        <v>0</v>
      </c>
      <c r="E27" s="116" t="n">
        <f aca="false">IFERROR(IF(E8=0,0,E26/E8),"")</f>
        <v>0</v>
      </c>
      <c r="F27" s="116" t="n">
        <f aca="false">IFERROR(IF(F8=0,0,F26/F8),"")</f>
        <v>0</v>
      </c>
      <c r="G27" s="116" t="n">
        <f aca="false">IFERROR(IF(G8=0,0,G26/G8),"")</f>
        <v>0</v>
      </c>
      <c r="H27" s="116" t="n">
        <f aca="false">IFERROR(IF(H8=0,0,H26/H8),"")</f>
        <v>0</v>
      </c>
      <c r="I27" s="116" t="n">
        <f aca="false">IFERROR(IF(I8=0,0,I26/I8),"")</f>
        <v>0</v>
      </c>
      <c r="J27" s="116" t="n">
        <f aca="false">IFERROR(IF(J8=0,0,J26/J8),"")</f>
        <v>0</v>
      </c>
      <c r="K27" s="116" t="n">
        <f aca="false">IFERROR(IF(K8=0,0,K26/K8),"")</f>
        <v>0</v>
      </c>
      <c r="L27" s="116" t="n">
        <f aca="false">IFERROR(IF(L8=0,0,L26/L8),"")</f>
        <v>0</v>
      </c>
      <c r="M27" s="116" t="n">
        <f aca="false">IFERROR(IF(M8=0,0,M26/M8),"")</f>
        <v>0</v>
      </c>
      <c r="N27" s="116" t="n">
        <f aca="false">IFERROR(IF(N8=0,0,N26/N8),"")</f>
        <v>0</v>
      </c>
      <c r="O27" s="116" t="n">
        <f aca="false">IFERROR(IF(O8=0,0,O26/O8),"")</f>
        <v>0</v>
      </c>
      <c r="P27" s="116" t="n">
        <f aca="false">IFERROR(IF(P8=0,0,P26/P8),"")</f>
        <v>0</v>
      </c>
      <c r="Q27" s="116" t="n">
        <f aca="false">IFERROR(IF(Q8=0,0,Q26/Q8),"")</f>
        <v>0</v>
      </c>
      <c r="R27" s="116" t="n">
        <f aca="false">IFERROR(IF(R8=0,0,R26/R8),"")</f>
        <v>0</v>
      </c>
      <c r="S27" s="116" t="n">
        <f aca="false">IFERROR(IF(S8=0,0,S26/S8),"")</f>
        <v>0</v>
      </c>
      <c r="T27" s="116" t="n">
        <f aca="false">IFERROR(IF(T8=0,0,T26/T8),"")</f>
        <v>0</v>
      </c>
      <c r="U27" s="116" t="n">
        <f aca="false">IFERROR(IF(U8=0,0,U26/U8),"")</f>
        <v>0</v>
      </c>
      <c r="V27" s="116" t="n">
        <f aca="false">IFERROR(IF(V8=0,0,V26/V8),"")</f>
        <v>0</v>
      </c>
      <c r="W27" s="116" t="n">
        <f aca="false">IFERROR(IF(W8=0,0,W26/W8),"")</f>
        <v>0</v>
      </c>
      <c r="X27" s="116" t="n">
        <f aca="false">IFERROR(IF(X8=0,0,X26/X8),"")</f>
        <v>0</v>
      </c>
      <c r="Y27" s="116" t="n">
        <f aca="false">IFERROR(IF(Y8=0,0,Y26/Y8),"")</f>
        <v>0</v>
      </c>
      <c r="Z27" s="116" t="n">
        <f aca="false">IFERROR(IF(Z8=0,0,Z26/Z8),"")</f>
        <v>0</v>
      </c>
      <c r="AA27" s="116" t="n">
        <f aca="false">IFERROR(IF(AA8=0,0,AA26/AA8),"")</f>
        <v>0</v>
      </c>
      <c r="AB27" s="116" t="n">
        <f aca="false">IFERROR(IF(AB8=0,0,AB26/AB8),"")</f>
        <v>0</v>
      </c>
      <c r="AC27" s="116" t="n">
        <f aca="false">IFERROR(IF(AC8=0,0,AC26/AC8),"")</f>
        <v>0</v>
      </c>
      <c r="AD27" s="116" t="n">
        <f aca="false">IFERROR(IF(AD8=0,0,AD26/AD8),"")</f>
        <v>0</v>
      </c>
      <c r="AE27" s="116" t="n">
        <f aca="false">IFERROR(IF(AE8=0,0,AE26/AE8),"")</f>
        <v>0</v>
      </c>
      <c r="AF27" s="116" t="n">
        <f aca="false">IFERROR(IF(AF8=0,0,AF26/AF8),"")</f>
        <v>0</v>
      </c>
      <c r="AG27" s="116" t="n">
        <f aca="false">IFERROR(IF(AG8=0,0,AG26/AG8),"")</f>
        <v>0</v>
      </c>
      <c r="AH27" s="116" t="n">
        <f aca="false">IFERROR(IF(AH8=0,0,AH26/AH8),"")</f>
        <v>0</v>
      </c>
      <c r="AI27" s="116" t="n">
        <f aca="false">IFERROR(IF(AI8=0,0,AI26/AI8),"")</f>
        <v>0</v>
      </c>
      <c r="AJ27" s="116" t="n">
        <f aca="false">IFERROR(IF(AJ8=0,0,AJ26/AJ8),"")</f>
        <v>0</v>
      </c>
      <c r="AK27" s="116" t="n">
        <f aca="false">IFERROR(IF(AK8=0,0,AK26/AK8),"")</f>
        <v>0</v>
      </c>
      <c r="AL27" s="116" t="n">
        <f aca="false">IFERROR(IF(AL8=0,0,AL26/AL8),"")</f>
        <v>0</v>
      </c>
      <c r="AM27" s="116" t="n">
        <f aca="false">IFERROR(IF(AM8=0,0,AM26/AM8),"")</f>
        <v>0</v>
      </c>
      <c r="AN27" s="116" t="n">
        <f aca="false">IFERROR(IF(AN8=0,0,AN26/AN8),"")</f>
        <v>0</v>
      </c>
      <c r="AO27" s="116" t="n">
        <f aca="false">IFERROR(IF(AO8=0,0,AO26/AO8),"")</f>
        <v>0</v>
      </c>
      <c r="AP27" s="116" t="n">
        <f aca="false">IFERROR(IF(AP8=0,0,AP26/AP8),"")</f>
        <v>0</v>
      </c>
      <c r="AQ27" s="116" t="n">
        <f aca="false">IFERROR(IF(AQ8=0,0,AQ26/AQ8),"")</f>
        <v>0</v>
      </c>
      <c r="AR27" s="116" t="n">
        <f aca="false">IFERROR(IF(AR8=0,0,AR26/AR8),"")</f>
        <v>0</v>
      </c>
      <c r="AS27" s="116" t="n">
        <f aca="false">IFERROR(IF(AS8=0,0,AS26/AS8),"")</f>
        <v>0</v>
      </c>
      <c r="AT27" s="116" t="n">
        <f aca="false">IFERROR(IF(AT8=0,0,AT26/AT8),"")</f>
        <v>0</v>
      </c>
      <c r="AU27" s="116" t="n">
        <f aca="false">IFERROR(IF(AU8=0,0,AU26/AU8),"")</f>
        <v>0</v>
      </c>
      <c r="AV27" s="116" t="n">
        <f aca="false">IFERROR(IF(AV8=0,0,AV26/AV8),"")</f>
        <v>0</v>
      </c>
      <c r="AW27" s="116" t="n">
        <f aca="false">IFERROR(IF(AW8=0,0,AW26/AW8),"")</f>
        <v>0</v>
      </c>
      <c r="AX27" s="116" t="n">
        <f aca="false">IFERROR(IF(AX8=0,0,AX26/AX8),"")</f>
        <v>0</v>
      </c>
      <c r="AY27" s="116" t="n">
        <f aca="false">IFERROR(IF(AY8=0,0,AY26/AY8),"")</f>
        <v>0</v>
      </c>
      <c r="AZ27" s="116" t="n">
        <f aca="false">IFERROR(IF(AZ8=0,0,AZ26/AZ8),"")</f>
        <v>0</v>
      </c>
      <c r="BA27" s="116" t="n">
        <f aca="false">IFERROR(IF(BA8=0,0,BA26/BA8),"")</f>
        <v>0</v>
      </c>
      <c r="BB27" s="116" t="n">
        <f aca="false">IFERROR(IF(BB8=0,0,BB26/BB8),"")</f>
        <v>0</v>
      </c>
      <c r="BC27" s="116" t="n">
        <f aca="false">IFERROR(IF(BC8=0,0,BC26/BC8),"")</f>
        <v>0</v>
      </c>
      <c r="BD27" s="116" t="n">
        <f aca="false">IFERROR(IF(BD8=0,0,BD26/BD8),"")</f>
        <v>0</v>
      </c>
      <c r="BE27" s="116" t="n">
        <f aca="false">IFERROR(IF(BE8=0,0,BE26/BE8),"")</f>
        <v>0</v>
      </c>
      <c r="BF27" s="116" t="n">
        <f aca="false">IFERROR(IF(BF8=0,0,BF26/BF8),"")</f>
        <v>0</v>
      </c>
      <c r="BG27" s="116" t="n">
        <f aca="false">IFERROR(IF(BG8=0,0,BG26/BG8),"")</f>
        <v>0</v>
      </c>
      <c r="BH27" s="116" t="n">
        <f aca="false">IFERROR(IF(BH8=0,0,BH26/BH8),"")</f>
        <v>0</v>
      </c>
      <c r="BI27" s="116" t="n">
        <f aca="false">IFERROR(IF(BI8=0,0,BI26/BI8),"")</f>
        <v>0</v>
      </c>
      <c r="BJ27" s="116" t="n">
        <f aca="false">IFERROR(IF(BJ8=0,0,BJ26/BJ8),"")</f>
        <v>0</v>
      </c>
    </row>
    <row r="28" customFormat="false" ht="15" hidden="false" customHeight="true" outlineLevel="0" collapsed="false">
      <c r="A28" s="114" t="s">
        <v>315</v>
      </c>
      <c r="B28" s="111" t="s">
        <v>289</v>
      </c>
      <c r="C28" s="115" t="n">
        <f aca="false">IFERROR(Depreciation!$E$11/12,"")</f>
        <v>0</v>
      </c>
      <c r="D28" s="115" t="n">
        <f aca="false">IFERROR(Depreciation!$E$11/12,"")</f>
        <v>0</v>
      </c>
      <c r="E28" s="115" t="n">
        <f aca="false">IFERROR(Depreciation!$E$11/12,"")</f>
        <v>0</v>
      </c>
      <c r="F28" s="115" t="n">
        <f aca="false">IFERROR(Depreciation!$E$11/12,"")</f>
        <v>0</v>
      </c>
      <c r="G28" s="115" t="n">
        <f aca="false">IFERROR(Depreciation!$E$11/12,"")</f>
        <v>0</v>
      </c>
      <c r="H28" s="115" t="n">
        <f aca="false">IFERROR(Depreciation!$E$11/12,"")</f>
        <v>0</v>
      </c>
      <c r="I28" s="115" t="n">
        <f aca="false">IFERROR(Depreciation!$E$11/12,"")</f>
        <v>0</v>
      </c>
      <c r="J28" s="115" t="n">
        <f aca="false">IFERROR(Depreciation!$E$11/12,"")</f>
        <v>0</v>
      </c>
      <c r="K28" s="115" t="n">
        <f aca="false">IFERROR(Depreciation!$E$11/12,"")</f>
        <v>0</v>
      </c>
      <c r="L28" s="115" t="n">
        <f aca="false">IFERROR(Depreciation!$E$11/12,"")</f>
        <v>0</v>
      </c>
      <c r="M28" s="115" t="n">
        <f aca="false">IFERROR(Depreciation!$E$11/12,"")</f>
        <v>0</v>
      </c>
      <c r="N28" s="115" t="n">
        <f aca="false">IFERROR(Depreciation!$E$11/12,"")</f>
        <v>0</v>
      </c>
      <c r="O28" s="115" t="n">
        <f aca="false">IFERROR(Depreciation!$H$11/12,"")</f>
        <v>0</v>
      </c>
      <c r="P28" s="115" t="n">
        <f aca="false">IFERROR(Depreciation!$H$11/12,"")</f>
        <v>0</v>
      </c>
      <c r="Q28" s="115" t="n">
        <f aca="false">IFERROR(Depreciation!$H$11/12,"")</f>
        <v>0</v>
      </c>
      <c r="R28" s="115" t="n">
        <f aca="false">IFERROR(Depreciation!$H$11/12,"")</f>
        <v>0</v>
      </c>
      <c r="S28" s="115" t="n">
        <f aca="false">IFERROR(Depreciation!$H$11/12,"")</f>
        <v>0</v>
      </c>
      <c r="T28" s="115" t="n">
        <f aca="false">IFERROR(Depreciation!$H$11/12,"")</f>
        <v>0</v>
      </c>
      <c r="U28" s="115" t="n">
        <f aca="false">IFERROR(Depreciation!$H$11/12,"")</f>
        <v>0</v>
      </c>
      <c r="V28" s="115" t="n">
        <f aca="false">IFERROR(Depreciation!$H$11/12,"")</f>
        <v>0</v>
      </c>
      <c r="W28" s="115" t="n">
        <f aca="false">IFERROR(Depreciation!$H$11/12,"")</f>
        <v>0</v>
      </c>
      <c r="X28" s="115" t="n">
        <f aca="false">IFERROR(Depreciation!$H$11/12,"")</f>
        <v>0</v>
      </c>
      <c r="Y28" s="115" t="n">
        <f aca="false">IFERROR(Depreciation!$H$11/12,"")</f>
        <v>0</v>
      </c>
      <c r="Z28" s="115" t="n">
        <f aca="false">IFERROR(Depreciation!$H$11/12,"")</f>
        <v>0</v>
      </c>
      <c r="AA28" s="115" t="n">
        <f aca="false">IFERROR(Depreciation!$K$11/12,"")</f>
        <v>0</v>
      </c>
      <c r="AB28" s="115" t="n">
        <f aca="false">IFERROR(Depreciation!$K$11/12,"")</f>
        <v>0</v>
      </c>
      <c r="AC28" s="115" t="n">
        <f aca="false">IFERROR(Depreciation!$K$11/12,"")</f>
        <v>0</v>
      </c>
      <c r="AD28" s="115" t="n">
        <f aca="false">IFERROR(Depreciation!$K$11/12,"")</f>
        <v>0</v>
      </c>
      <c r="AE28" s="115" t="n">
        <f aca="false">IFERROR(Depreciation!$K$11/12,"")</f>
        <v>0</v>
      </c>
      <c r="AF28" s="115" t="n">
        <f aca="false">IFERROR(Depreciation!$K$11/12,"")</f>
        <v>0</v>
      </c>
      <c r="AG28" s="115" t="n">
        <f aca="false">IFERROR(Depreciation!$K$11/12,"")</f>
        <v>0</v>
      </c>
      <c r="AH28" s="115" t="n">
        <f aca="false">IFERROR(Depreciation!$K$11/12,"")</f>
        <v>0</v>
      </c>
      <c r="AI28" s="115" t="n">
        <f aca="false">IFERROR(Depreciation!$K$11/12,"")</f>
        <v>0</v>
      </c>
      <c r="AJ28" s="115" t="n">
        <f aca="false">IFERROR(Depreciation!$K$11/12,"")</f>
        <v>0</v>
      </c>
      <c r="AK28" s="115" t="n">
        <f aca="false">IFERROR(Depreciation!$K$11/12,"")</f>
        <v>0</v>
      </c>
      <c r="AL28" s="115" t="n">
        <f aca="false">IFERROR(Depreciation!$K$11/12,"")</f>
        <v>0</v>
      </c>
      <c r="AM28" s="115" t="n">
        <f aca="false">IFERROR(Depreciation!$N$11/12,"")</f>
        <v>0</v>
      </c>
      <c r="AN28" s="115" t="n">
        <f aca="false">IFERROR(Depreciation!$N$11/12,"")</f>
        <v>0</v>
      </c>
      <c r="AO28" s="115" t="n">
        <f aca="false">IFERROR(Depreciation!$N$11/12,"")</f>
        <v>0</v>
      </c>
      <c r="AP28" s="115" t="n">
        <f aca="false">IFERROR(Depreciation!$N$11/12,"")</f>
        <v>0</v>
      </c>
      <c r="AQ28" s="115" t="n">
        <f aca="false">IFERROR(Depreciation!$N$11/12,"")</f>
        <v>0</v>
      </c>
      <c r="AR28" s="115" t="n">
        <f aca="false">IFERROR(Depreciation!$N$11/12,"")</f>
        <v>0</v>
      </c>
      <c r="AS28" s="115" t="n">
        <f aca="false">IFERROR(Depreciation!$N$11/12,"")</f>
        <v>0</v>
      </c>
      <c r="AT28" s="115" t="n">
        <f aca="false">IFERROR(Depreciation!$N$11/12,"")</f>
        <v>0</v>
      </c>
      <c r="AU28" s="115" t="n">
        <f aca="false">IFERROR(Depreciation!$N$11/12,"")</f>
        <v>0</v>
      </c>
      <c r="AV28" s="115" t="n">
        <f aca="false">IFERROR(Depreciation!$N$11/12,"")</f>
        <v>0</v>
      </c>
      <c r="AW28" s="115" t="n">
        <f aca="false">IFERROR(Depreciation!$N$11/12,"")</f>
        <v>0</v>
      </c>
      <c r="AX28" s="115" t="n">
        <f aca="false">IFERROR(Depreciation!$N$11/12,"")</f>
        <v>0</v>
      </c>
      <c r="AY28" s="115" t="n">
        <f aca="false">IFERROR(Depreciation!$Q$11/12,"")</f>
        <v>0</v>
      </c>
      <c r="AZ28" s="115" t="n">
        <f aca="false">IFERROR(Depreciation!$Q$11/12,"")</f>
        <v>0</v>
      </c>
      <c r="BA28" s="115" t="n">
        <f aca="false">IFERROR(Depreciation!$Q$11/12,"")</f>
        <v>0</v>
      </c>
      <c r="BB28" s="115" t="n">
        <f aca="false">IFERROR(Depreciation!$Q$11/12,"")</f>
        <v>0</v>
      </c>
      <c r="BC28" s="115" t="n">
        <f aca="false">IFERROR(Depreciation!$Q$11/12,"")</f>
        <v>0</v>
      </c>
      <c r="BD28" s="115" t="n">
        <f aca="false">IFERROR(Depreciation!$Q$11/12,"")</f>
        <v>0</v>
      </c>
      <c r="BE28" s="115" t="n">
        <f aca="false">IFERROR(Depreciation!$Q$11/12,"")</f>
        <v>0</v>
      </c>
      <c r="BF28" s="115" t="n">
        <f aca="false">IFERROR(Depreciation!$Q$11/12,"")</f>
        <v>0</v>
      </c>
      <c r="BG28" s="115" t="n">
        <f aca="false">IFERROR(Depreciation!$Q$11/12,"")</f>
        <v>0</v>
      </c>
      <c r="BH28" s="115" t="n">
        <f aca="false">IFERROR(Depreciation!$Q$11/12,"")</f>
        <v>0</v>
      </c>
      <c r="BI28" s="115" t="n">
        <f aca="false">IFERROR(Depreciation!$Q$11/12,"")</f>
        <v>0</v>
      </c>
      <c r="BJ28" s="115" t="n">
        <f aca="false">IFERROR(Depreciation!$Q$11/12,"")</f>
        <v>0</v>
      </c>
    </row>
    <row r="29" customFormat="false" ht="15" hidden="false" customHeight="true" outlineLevel="0" collapsed="false">
      <c r="A29" s="112" t="s">
        <v>316</v>
      </c>
      <c r="B29" s="111" t="s">
        <v>289</v>
      </c>
      <c r="C29" s="122" t="n">
        <f aca="false">IFERROR(C26-C28,"")</f>
        <v>0</v>
      </c>
      <c r="D29" s="122" t="n">
        <f aca="false">IFERROR(D26-D28,"")</f>
        <v>0</v>
      </c>
      <c r="E29" s="122" t="n">
        <f aca="false">IFERROR(E26-E28,"")</f>
        <v>0</v>
      </c>
      <c r="F29" s="122" t="n">
        <f aca="false">IFERROR(F26-F28,"")</f>
        <v>0</v>
      </c>
      <c r="G29" s="122" t="n">
        <f aca="false">IFERROR(G26-G28,"")</f>
        <v>0</v>
      </c>
      <c r="H29" s="122" t="n">
        <f aca="false">IFERROR(H26-H28,"")</f>
        <v>0</v>
      </c>
      <c r="I29" s="122" t="n">
        <f aca="false">IFERROR(I26-I28,"")</f>
        <v>0</v>
      </c>
      <c r="J29" s="122" t="n">
        <f aca="false">IFERROR(J26-J28,"")</f>
        <v>0</v>
      </c>
      <c r="K29" s="122" t="n">
        <f aca="false">IFERROR(K26-K28,"")</f>
        <v>0</v>
      </c>
      <c r="L29" s="122" t="n">
        <f aca="false">IFERROR(L26-L28,"")</f>
        <v>0</v>
      </c>
      <c r="M29" s="122" t="n">
        <f aca="false">IFERROR(M26-M28,"")</f>
        <v>0</v>
      </c>
      <c r="N29" s="122" t="n">
        <f aca="false">IFERROR(N26-N28,"")</f>
        <v>0</v>
      </c>
      <c r="O29" s="122" t="n">
        <f aca="false">IFERROR(O26-O28,"")</f>
        <v>0</v>
      </c>
      <c r="P29" s="122" t="n">
        <f aca="false">IFERROR(P26-P28,"")</f>
        <v>0</v>
      </c>
      <c r="Q29" s="122" t="n">
        <f aca="false">IFERROR(Q26-Q28,"")</f>
        <v>0</v>
      </c>
      <c r="R29" s="122" t="n">
        <f aca="false">IFERROR(R26-R28,"")</f>
        <v>0</v>
      </c>
      <c r="S29" s="122" t="n">
        <f aca="false">IFERROR(S26-S28,"")</f>
        <v>0</v>
      </c>
      <c r="T29" s="122" t="n">
        <f aca="false">IFERROR(T26-T28,"")</f>
        <v>0</v>
      </c>
      <c r="U29" s="122" t="n">
        <f aca="false">IFERROR(U26-U28,"")</f>
        <v>0</v>
      </c>
      <c r="V29" s="122" t="n">
        <f aca="false">IFERROR(V26-V28,"")</f>
        <v>0</v>
      </c>
      <c r="W29" s="122" t="n">
        <f aca="false">IFERROR(W26-W28,"")</f>
        <v>0</v>
      </c>
      <c r="X29" s="122" t="n">
        <f aca="false">IFERROR(X26-X28,"")</f>
        <v>0</v>
      </c>
      <c r="Y29" s="122" t="n">
        <f aca="false">IFERROR(Y26-Y28,"")</f>
        <v>0</v>
      </c>
      <c r="Z29" s="122" t="n">
        <f aca="false">IFERROR(Z26-Z28,"")</f>
        <v>0</v>
      </c>
      <c r="AA29" s="122" t="n">
        <f aca="false">IFERROR(AA26-AA28,"")</f>
        <v>0</v>
      </c>
      <c r="AB29" s="122" t="n">
        <f aca="false">IFERROR(AB26-AB28,"")</f>
        <v>0</v>
      </c>
      <c r="AC29" s="122" t="n">
        <f aca="false">IFERROR(AC26-AC28,"")</f>
        <v>0</v>
      </c>
      <c r="AD29" s="122" t="n">
        <f aca="false">IFERROR(AD26-AD28,"")</f>
        <v>0</v>
      </c>
      <c r="AE29" s="122" t="n">
        <f aca="false">IFERROR(AE26-AE28,"")</f>
        <v>0</v>
      </c>
      <c r="AF29" s="122" t="n">
        <f aca="false">IFERROR(AF26-AF28,"")</f>
        <v>0</v>
      </c>
      <c r="AG29" s="122" t="n">
        <f aca="false">IFERROR(AG26-AG28,"")</f>
        <v>0</v>
      </c>
      <c r="AH29" s="122" t="n">
        <f aca="false">IFERROR(AH26-AH28,"")</f>
        <v>0</v>
      </c>
      <c r="AI29" s="122" t="n">
        <f aca="false">IFERROR(AI26-AI28,"")</f>
        <v>0</v>
      </c>
      <c r="AJ29" s="122" t="n">
        <f aca="false">IFERROR(AJ26-AJ28,"")</f>
        <v>0</v>
      </c>
      <c r="AK29" s="122" t="n">
        <f aca="false">IFERROR(AK26-AK28,"")</f>
        <v>0</v>
      </c>
      <c r="AL29" s="122" t="n">
        <f aca="false">IFERROR(AL26-AL28,"")</f>
        <v>0</v>
      </c>
      <c r="AM29" s="122" t="n">
        <f aca="false">IFERROR(AM26-AM28,"")</f>
        <v>0</v>
      </c>
      <c r="AN29" s="122" t="n">
        <f aca="false">IFERROR(AN26-AN28,"")</f>
        <v>0</v>
      </c>
      <c r="AO29" s="122" t="n">
        <f aca="false">IFERROR(AO26-AO28,"")</f>
        <v>0</v>
      </c>
      <c r="AP29" s="122" t="n">
        <f aca="false">IFERROR(AP26-AP28,"")</f>
        <v>0</v>
      </c>
      <c r="AQ29" s="122" t="n">
        <f aca="false">IFERROR(AQ26-AQ28,"")</f>
        <v>0</v>
      </c>
      <c r="AR29" s="122" t="n">
        <f aca="false">IFERROR(AR26-AR28,"")</f>
        <v>0</v>
      </c>
      <c r="AS29" s="122" t="n">
        <f aca="false">IFERROR(AS26-AS28,"")</f>
        <v>0</v>
      </c>
      <c r="AT29" s="122" t="n">
        <f aca="false">IFERROR(AT26-AT28,"")</f>
        <v>0</v>
      </c>
      <c r="AU29" s="122" t="n">
        <f aca="false">IFERROR(AU26-AU28,"")</f>
        <v>0</v>
      </c>
      <c r="AV29" s="122" t="n">
        <f aca="false">IFERROR(AV26-AV28,"")</f>
        <v>0</v>
      </c>
      <c r="AW29" s="122" t="n">
        <f aca="false">IFERROR(AW26-AW28,"")</f>
        <v>0</v>
      </c>
      <c r="AX29" s="122" t="n">
        <f aca="false">IFERROR(AX26-AX28,"")</f>
        <v>0</v>
      </c>
      <c r="AY29" s="122" t="n">
        <f aca="false">IFERROR(AY26-AY28,"")</f>
        <v>0</v>
      </c>
      <c r="AZ29" s="122" t="n">
        <f aca="false">IFERROR(AZ26-AZ28,"")</f>
        <v>0</v>
      </c>
      <c r="BA29" s="122" t="n">
        <f aca="false">IFERROR(BA26-BA28,"")</f>
        <v>0</v>
      </c>
      <c r="BB29" s="122" t="n">
        <f aca="false">IFERROR(BB26-BB28,"")</f>
        <v>0</v>
      </c>
      <c r="BC29" s="122" t="n">
        <f aca="false">IFERROR(BC26-BC28,"")</f>
        <v>0</v>
      </c>
      <c r="BD29" s="122" t="n">
        <f aca="false">IFERROR(BD26-BD28,"")</f>
        <v>0</v>
      </c>
      <c r="BE29" s="122" t="n">
        <f aca="false">IFERROR(BE26-BE28,"")</f>
        <v>0</v>
      </c>
      <c r="BF29" s="122" t="n">
        <f aca="false">IFERROR(BF26-BF28,"")</f>
        <v>0</v>
      </c>
      <c r="BG29" s="122" t="n">
        <f aca="false">IFERROR(BG26-BG28,"")</f>
        <v>0</v>
      </c>
      <c r="BH29" s="122" t="n">
        <f aca="false">IFERROR(BH26-BH28,"")</f>
        <v>0</v>
      </c>
      <c r="BI29" s="122" t="n">
        <f aca="false">IFERROR(BI26-BI28,"")</f>
        <v>0</v>
      </c>
      <c r="BJ29" s="122" t="n">
        <f aca="false">IFERROR(BJ26-BJ28,"")</f>
        <v>0</v>
      </c>
    </row>
    <row r="30" customFormat="false" ht="15" hidden="false" customHeight="true" outlineLevel="0" collapsed="false">
      <c r="A30" s="114" t="s">
        <v>317</v>
      </c>
      <c r="B30" s="111" t="s">
        <v>289</v>
      </c>
      <c r="C30" s="115" t="n">
        <f aca="false">IFERROR('Term Loan'!C10,"")</f>
        <v>0</v>
      </c>
      <c r="D30" s="115" t="n">
        <f aca="false">IFERROR('Term Loan'!D10,"")</f>
        <v>0</v>
      </c>
      <c r="E30" s="115" t="n">
        <f aca="false">IFERROR('Term Loan'!E10,"")</f>
        <v>0</v>
      </c>
      <c r="F30" s="115" t="n">
        <f aca="false">IFERROR('Term Loan'!F10,"")</f>
        <v>0</v>
      </c>
      <c r="G30" s="115" t="n">
        <f aca="false">IFERROR('Term Loan'!G10,"")</f>
        <v>0</v>
      </c>
      <c r="H30" s="115" t="n">
        <f aca="false">IFERROR('Term Loan'!H10,"")</f>
        <v>0</v>
      </c>
      <c r="I30" s="115" t="n">
        <f aca="false">IFERROR('Term Loan'!I10,"")</f>
        <v>0</v>
      </c>
      <c r="J30" s="115" t="n">
        <f aca="false">IFERROR('Term Loan'!J10,"")</f>
        <v>0</v>
      </c>
      <c r="K30" s="115" t="n">
        <f aca="false">IFERROR('Term Loan'!K10,"")</f>
        <v>0</v>
      </c>
      <c r="L30" s="115" t="n">
        <f aca="false">IFERROR('Term Loan'!L10,"")</f>
        <v>0</v>
      </c>
      <c r="M30" s="115" t="n">
        <f aca="false">IFERROR('Term Loan'!M10,"")</f>
        <v>0</v>
      </c>
      <c r="N30" s="115" t="n">
        <f aca="false">IFERROR('Term Loan'!N10,"")</f>
        <v>0</v>
      </c>
      <c r="O30" s="115" t="n">
        <f aca="false">IFERROR('Term Loan'!O10,"")</f>
        <v>0</v>
      </c>
      <c r="P30" s="115" t="n">
        <f aca="false">IFERROR('Term Loan'!P10,"")</f>
        <v>0</v>
      </c>
      <c r="Q30" s="115" t="n">
        <f aca="false">IFERROR('Term Loan'!Q10,"")</f>
        <v>0</v>
      </c>
      <c r="R30" s="115" t="n">
        <f aca="false">IFERROR('Term Loan'!R10,"")</f>
        <v>0</v>
      </c>
      <c r="S30" s="115" t="n">
        <f aca="false">IFERROR('Term Loan'!S10,"")</f>
        <v>0</v>
      </c>
      <c r="T30" s="115" t="n">
        <f aca="false">IFERROR('Term Loan'!T10,"")</f>
        <v>0</v>
      </c>
      <c r="U30" s="115" t="n">
        <f aca="false">IFERROR('Term Loan'!U10,"")</f>
        <v>0</v>
      </c>
      <c r="V30" s="115" t="n">
        <f aca="false">IFERROR('Term Loan'!V10,"")</f>
        <v>0</v>
      </c>
      <c r="W30" s="115" t="n">
        <f aca="false">IFERROR('Term Loan'!W10,"")</f>
        <v>0</v>
      </c>
      <c r="X30" s="115" t="n">
        <f aca="false">IFERROR('Term Loan'!X10,"")</f>
        <v>0</v>
      </c>
      <c r="Y30" s="115" t="n">
        <f aca="false">IFERROR('Term Loan'!Y10,"")</f>
        <v>0</v>
      </c>
      <c r="Z30" s="115" t="n">
        <f aca="false">IFERROR('Term Loan'!Z10,"")</f>
        <v>0</v>
      </c>
      <c r="AA30" s="115" t="n">
        <f aca="false">IFERROR('Term Loan'!AA10,"")</f>
        <v>0</v>
      </c>
      <c r="AB30" s="115" t="n">
        <f aca="false">IFERROR('Term Loan'!AB10,"")</f>
        <v>0</v>
      </c>
      <c r="AC30" s="115" t="n">
        <f aca="false">IFERROR('Term Loan'!AC10,"")</f>
        <v>0</v>
      </c>
      <c r="AD30" s="115" t="n">
        <f aca="false">IFERROR('Term Loan'!AD10,"")</f>
        <v>0</v>
      </c>
      <c r="AE30" s="115" t="n">
        <f aca="false">IFERROR('Term Loan'!AE10,"")</f>
        <v>0</v>
      </c>
      <c r="AF30" s="115" t="n">
        <f aca="false">IFERROR('Term Loan'!AF10,"")</f>
        <v>0</v>
      </c>
      <c r="AG30" s="115" t="n">
        <f aca="false">IFERROR('Term Loan'!AG10,"")</f>
        <v>0</v>
      </c>
      <c r="AH30" s="115" t="n">
        <f aca="false">IFERROR('Term Loan'!AH10,"")</f>
        <v>0</v>
      </c>
      <c r="AI30" s="115" t="n">
        <f aca="false">IFERROR('Term Loan'!AI10,"")</f>
        <v>0</v>
      </c>
      <c r="AJ30" s="115" t="n">
        <f aca="false">IFERROR('Term Loan'!AJ10,"")</f>
        <v>0</v>
      </c>
      <c r="AK30" s="115" t="n">
        <f aca="false">IFERROR('Term Loan'!AK10,"")</f>
        <v>0</v>
      </c>
      <c r="AL30" s="115" t="n">
        <f aca="false">IFERROR('Term Loan'!AL10,"")</f>
        <v>0</v>
      </c>
      <c r="AM30" s="115" t="n">
        <f aca="false">IFERROR('Term Loan'!AM10,"")</f>
        <v>0</v>
      </c>
      <c r="AN30" s="115" t="n">
        <f aca="false">IFERROR('Term Loan'!AN10,"")</f>
        <v>0</v>
      </c>
      <c r="AO30" s="115" t="n">
        <f aca="false">IFERROR('Term Loan'!AO10,"")</f>
        <v>0</v>
      </c>
      <c r="AP30" s="115" t="n">
        <f aca="false">IFERROR('Term Loan'!AP10,"")</f>
        <v>0</v>
      </c>
      <c r="AQ30" s="115" t="n">
        <f aca="false">IFERROR('Term Loan'!AQ10,"")</f>
        <v>0</v>
      </c>
      <c r="AR30" s="115" t="n">
        <f aca="false">IFERROR('Term Loan'!AR10,"")</f>
        <v>0</v>
      </c>
      <c r="AS30" s="115" t="n">
        <f aca="false">IFERROR('Term Loan'!AS10,"")</f>
        <v>0</v>
      </c>
      <c r="AT30" s="115" t="n">
        <f aca="false">IFERROR('Term Loan'!AT10,"")</f>
        <v>0</v>
      </c>
      <c r="AU30" s="115" t="n">
        <f aca="false">IFERROR('Term Loan'!AU10,"")</f>
        <v>0</v>
      </c>
      <c r="AV30" s="115" t="n">
        <f aca="false">IFERROR('Term Loan'!AV10,"")</f>
        <v>0</v>
      </c>
      <c r="AW30" s="115" t="n">
        <f aca="false">IFERROR('Term Loan'!AW10,"")</f>
        <v>0</v>
      </c>
      <c r="AX30" s="115" t="n">
        <f aca="false">IFERROR('Term Loan'!AX10,"")</f>
        <v>0</v>
      </c>
      <c r="AY30" s="115" t="n">
        <f aca="false">IFERROR('Term Loan'!AY10,"")</f>
        <v>0</v>
      </c>
      <c r="AZ30" s="115" t="n">
        <f aca="false">IFERROR('Term Loan'!AZ10,"")</f>
        <v>0</v>
      </c>
      <c r="BA30" s="115" t="n">
        <f aca="false">IFERROR('Term Loan'!BA10,"")</f>
        <v>0</v>
      </c>
      <c r="BB30" s="115" t="n">
        <f aca="false">IFERROR('Term Loan'!BB10,"")</f>
        <v>0</v>
      </c>
      <c r="BC30" s="115" t="n">
        <f aca="false">IFERROR('Term Loan'!BC10,"")</f>
        <v>0</v>
      </c>
      <c r="BD30" s="115" t="n">
        <f aca="false">IFERROR('Term Loan'!BD10,"")</f>
        <v>0</v>
      </c>
      <c r="BE30" s="115" t="n">
        <f aca="false">IFERROR('Term Loan'!BE10,"")</f>
        <v>0</v>
      </c>
      <c r="BF30" s="115" t="n">
        <f aca="false">IFERROR('Term Loan'!BF10,"")</f>
        <v>0</v>
      </c>
      <c r="BG30" s="115" t="n">
        <f aca="false">IFERROR('Term Loan'!BG10,"")</f>
        <v>0</v>
      </c>
      <c r="BH30" s="115" t="n">
        <f aca="false">IFERROR('Term Loan'!BH10,"")</f>
        <v>0</v>
      </c>
      <c r="BI30" s="115" t="n">
        <f aca="false">IFERROR('Term Loan'!BI10,"")</f>
        <v>0</v>
      </c>
      <c r="BJ30" s="115" t="n">
        <f aca="false">IFERROR('Term Loan'!BJ10,"")</f>
        <v>0</v>
      </c>
    </row>
    <row r="31" customFormat="false" ht="15" hidden="false" customHeight="true" outlineLevel="0" collapsed="false">
      <c r="A31" s="114" t="s">
        <v>318</v>
      </c>
      <c r="B31" s="111" t="s">
        <v>289</v>
      </c>
      <c r="C31" s="115" t="n">
        <f aca="false">IFERROR('Working Capital'!$C$27/12,"")</f>
        <v>0</v>
      </c>
      <c r="D31" s="115" t="n">
        <f aca="false">IFERROR('Working Capital'!$C$27/12,"")</f>
        <v>0</v>
      </c>
      <c r="E31" s="115" t="n">
        <f aca="false">IFERROR('Working Capital'!$C$27/12,"")</f>
        <v>0</v>
      </c>
      <c r="F31" s="115" t="n">
        <f aca="false">IFERROR('Working Capital'!$C$27/12,"")</f>
        <v>0</v>
      </c>
      <c r="G31" s="115" t="n">
        <f aca="false">IFERROR('Working Capital'!$C$27/12,"")</f>
        <v>0</v>
      </c>
      <c r="H31" s="115" t="n">
        <f aca="false">IFERROR('Working Capital'!$C$27/12,"")</f>
        <v>0</v>
      </c>
      <c r="I31" s="115" t="n">
        <f aca="false">IFERROR('Working Capital'!$C$27/12,"")</f>
        <v>0</v>
      </c>
      <c r="J31" s="115" t="n">
        <f aca="false">IFERROR('Working Capital'!$C$27/12,"")</f>
        <v>0</v>
      </c>
      <c r="K31" s="115" t="n">
        <f aca="false">IFERROR('Working Capital'!$C$27/12,"")</f>
        <v>0</v>
      </c>
      <c r="L31" s="115" t="n">
        <f aca="false">IFERROR('Working Capital'!$C$27/12,"")</f>
        <v>0</v>
      </c>
      <c r="M31" s="115" t="n">
        <f aca="false">IFERROR('Working Capital'!$C$27/12,"")</f>
        <v>0</v>
      </c>
      <c r="N31" s="115" t="n">
        <f aca="false">IFERROR('Working Capital'!$C$27/12,"")</f>
        <v>0</v>
      </c>
      <c r="O31" s="115" t="n">
        <f aca="false">IFERROR('Working Capital'!$D$27/12,"")</f>
        <v>0</v>
      </c>
      <c r="P31" s="115" t="n">
        <f aca="false">IFERROR('Working Capital'!$D$27/12,"")</f>
        <v>0</v>
      </c>
      <c r="Q31" s="115" t="n">
        <f aca="false">IFERROR('Working Capital'!$D$27/12,"")</f>
        <v>0</v>
      </c>
      <c r="R31" s="115" t="n">
        <f aca="false">IFERROR('Working Capital'!$D$27/12,"")</f>
        <v>0</v>
      </c>
      <c r="S31" s="115" t="n">
        <f aca="false">IFERROR('Working Capital'!$D$27/12,"")</f>
        <v>0</v>
      </c>
      <c r="T31" s="115" t="n">
        <f aca="false">IFERROR('Working Capital'!$D$27/12,"")</f>
        <v>0</v>
      </c>
      <c r="U31" s="115" t="n">
        <f aca="false">IFERROR('Working Capital'!$D$27/12,"")</f>
        <v>0</v>
      </c>
      <c r="V31" s="115" t="n">
        <f aca="false">IFERROR('Working Capital'!$D$27/12,"")</f>
        <v>0</v>
      </c>
      <c r="W31" s="115" t="n">
        <f aca="false">IFERROR('Working Capital'!$D$27/12,"")</f>
        <v>0</v>
      </c>
      <c r="X31" s="115" t="n">
        <f aca="false">IFERROR('Working Capital'!$D$27/12,"")</f>
        <v>0</v>
      </c>
      <c r="Y31" s="115" t="n">
        <f aca="false">IFERROR('Working Capital'!$D$27/12,"")</f>
        <v>0</v>
      </c>
      <c r="Z31" s="115" t="n">
        <f aca="false">IFERROR('Working Capital'!$D$27/12,"")</f>
        <v>0</v>
      </c>
      <c r="AA31" s="115" t="n">
        <f aca="false">IFERROR('Working Capital'!$E$27/12,"")</f>
        <v>0</v>
      </c>
      <c r="AB31" s="115" t="n">
        <f aca="false">IFERROR('Working Capital'!$E$27/12,"")</f>
        <v>0</v>
      </c>
      <c r="AC31" s="115" t="n">
        <f aca="false">IFERROR('Working Capital'!$E$27/12,"")</f>
        <v>0</v>
      </c>
      <c r="AD31" s="115" t="n">
        <f aca="false">IFERROR('Working Capital'!$E$27/12,"")</f>
        <v>0</v>
      </c>
      <c r="AE31" s="115" t="n">
        <f aca="false">IFERROR('Working Capital'!$E$27/12,"")</f>
        <v>0</v>
      </c>
      <c r="AF31" s="115" t="n">
        <f aca="false">IFERROR('Working Capital'!$E$27/12,"")</f>
        <v>0</v>
      </c>
      <c r="AG31" s="115" t="n">
        <f aca="false">IFERROR('Working Capital'!$E$27/12,"")</f>
        <v>0</v>
      </c>
      <c r="AH31" s="115" t="n">
        <f aca="false">IFERROR('Working Capital'!$E$27/12,"")</f>
        <v>0</v>
      </c>
      <c r="AI31" s="115" t="n">
        <f aca="false">IFERROR('Working Capital'!$E$27/12,"")</f>
        <v>0</v>
      </c>
      <c r="AJ31" s="115" t="n">
        <f aca="false">IFERROR('Working Capital'!$E$27/12,"")</f>
        <v>0</v>
      </c>
      <c r="AK31" s="115" t="n">
        <f aca="false">IFERROR('Working Capital'!$E$27/12,"")</f>
        <v>0</v>
      </c>
      <c r="AL31" s="115" t="n">
        <f aca="false">IFERROR('Working Capital'!$E$27/12,"")</f>
        <v>0</v>
      </c>
      <c r="AM31" s="115" t="n">
        <f aca="false">IFERROR('Working Capital'!$F$27/12,"")</f>
        <v>0</v>
      </c>
      <c r="AN31" s="115" t="n">
        <f aca="false">IFERROR('Working Capital'!$F$27/12,"")</f>
        <v>0</v>
      </c>
      <c r="AO31" s="115" t="n">
        <f aca="false">IFERROR('Working Capital'!$F$27/12,"")</f>
        <v>0</v>
      </c>
      <c r="AP31" s="115" t="n">
        <f aca="false">IFERROR('Working Capital'!$F$27/12,"")</f>
        <v>0</v>
      </c>
      <c r="AQ31" s="115" t="n">
        <f aca="false">IFERROR('Working Capital'!$F$27/12,"")</f>
        <v>0</v>
      </c>
      <c r="AR31" s="115" t="n">
        <f aca="false">IFERROR('Working Capital'!$F$27/12,"")</f>
        <v>0</v>
      </c>
      <c r="AS31" s="115" t="n">
        <f aca="false">IFERROR('Working Capital'!$F$27/12,"")</f>
        <v>0</v>
      </c>
      <c r="AT31" s="115" t="n">
        <f aca="false">IFERROR('Working Capital'!$F$27/12,"")</f>
        <v>0</v>
      </c>
      <c r="AU31" s="115" t="n">
        <f aca="false">IFERROR('Working Capital'!$F$27/12,"")</f>
        <v>0</v>
      </c>
      <c r="AV31" s="115" t="n">
        <f aca="false">IFERROR('Working Capital'!$F$27/12,"")</f>
        <v>0</v>
      </c>
      <c r="AW31" s="115" t="n">
        <f aca="false">IFERROR('Working Capital'!$F$27/12,"")</f>
        <v>0</v>
      </c>
      <c r="AX31" s="115" t="n">
        <f aca="false">IFERROR('Working Capital'!$F$27/12,"")</f>
        <v>0</v>
      </c>
      <c r="AY31" s="115" t="n">
        <f aca="false">IFERROR('Working Capital'!$G$27/12,"")</f>
        <v>0</v>
      </c>
      <c r="AZ31" s="115" t="n">
        <f aca="false">IFERROR('Working Capital'!$G$27/12,"")</f>
        <v>0</v>
      </c>
      <c r="BA31" s="115" t="n">
        <f aca="false">IFERROR('Working Capital'!$G$27/12,"")</f>
        <v>0</v>
      </c>
      <c r="BB31" s="115" t="n">
        <f aca="false">IFERROR('Working Capital'!$G$27/12,"")</f>
        <v>0</v>
      </c>
      <c r="BC31" s="115" t="n">
        <f aca="false">IFERROR('Working Capital'!$G$27/12,"")</f>
        <v>0</v>
      </c>
      <c r="BD31" s="115" t="n">
        <f aca="false">IFERROR('Working Capital'!$G$27/12,"")</f>
        <v>0</v>
      </c>
      <c r="BE31" s="115" t="n">
        <f aca="false">IFERROR('Working Capital'!$G$27/12,"")</f>
        <v>0</v>
      </c>
      <c r="BF31" s="115" t="n">
        <f aca="false">IFERROR('Working Capital'!$G$27/12,"")</f>
        <v>0</v>
      </c>
      <c r="BG31" s="115" t="n">
        <f aca="false">IFERROR('Working Capital'!$G$27/12,"")</f>
        <v>0</v>
      </c>
      <c r="BH31" s="115" t="n">
        <f aca="false">IFERROR('Working Capital'!$G$27/12,"")</f>
        <v>0</v>
      </c>
      <c r="BI31" s="115" t="n">
        <f aca="false">IFERROR('Working Capital'!$G$27/12,"")</f>
        <v>0</v>
      </c>
      <c r="BJ31" s="115" t="n">
        <f aca="false">IFERROR('Working Capital'!$G$27/12,"")</f>
        <v>0</v>
      </c>
    </row>
    <row r="32" customFormat="false" ht="15" hidden="false" customHeight="true" outlineLevel="0" collapsed="false">
      <c r="A32" s="112" t="s">
        <v>319</v>
      </c>
      <c r="B32" s="111" t="s">
        <v>289</v>
      </c>
      <c r="C32" s="113" t="n">
        <f aca="false">IFERROR(C30+C31,"")</f>
        <v>0</v>
      </c>
      <c r="D32" s="113" t="n">
        <f aca="false">IFERROR(D30+D31,"")</f>
        <v>0</v>
      </c>
      <c r="E32" s="113" t="n">
        <f aca="false">IFERROR(E30+E31,"")</f>
        <v>0</v>
      </c>
      <c r="F32" s="113" t="n">
        <f aca="false">IFERROR(F30+F31,"")</f>
        <v>0</v>
      </c>
      <c r="G32" s="113" t="n">
        <f aca="false">IFERROR(G30+G31,"")</f>
        <v>0</v>
      </c>
      <c r="H32" s="113" t="n">
        <f aca="false">IFERROR(H30+H31,"")</f>
        <v>0</v>
      </c>
      <c r="I32" s="113" t="n">
        <f aca="false">IFERROR(I30+I31,"")</f>
        <v>0</v>
      </c>
      <c r="J32" s="113" t="n">
        <f aca="false">IFERROR(J30+J31,"")</f>
        <v>0</v>
      </c>
      <c r="K32" s="113" t="n">
        <f aca="false">IFERROR(K30+K31,"")</f>
        <v>0</v>
      </c>
      <c r="L32" s="113" t="n">
        <f aca="false">IFERROR(L30+L31,"")</f>
        <v>0</v>
      </c>
      <c r="M32" s="113" t="n">
        <f aca="false">IFERROR(M30+M31,"")</f>
        <v>0</v>
      </c>
      <c r="N32" s="113" t="n">
        <f aca="false">IFERROR(N30+N31,"")</f>
        <v>0</v>
      </c>
      <c r="O32" s="113" t="n">
        <f aca="false">IFERROR(O30+O31,"")</f>
        <v>0</v>
      </c>
      <c r="P32" s="113" t="n">
        <f aca="false">IFERROR(P30+P31,"")</f>
        <v>0</v>
      </c>
      <c r="Q32" s="113" t="n">
        <f aca="false">IFERROR(Q30+Q31,"")</f>
        <v>0</v>
      </c>
      <c r="R32" s="113" t="n">
        <f aca="false">IFERROR(R30+R31,"")</f>
        <v>0</v>
      </c>
      <c r="S32" s="113" t="n">
        <f aca="false">IFERROR(S30+S31,"")</f>
        <v>0</v>
      </c>
      <c r="T32" s="113" t="n">
        <f aca="false">IFERROR(T30+T31,"")</f>
        <v>0</v>
      </c>
      <c r="U32" s="113" t="n">
        <f aca="false">IFERROR(U30+U31,"")</f>
        <v>0</v>
      </c>
      <c r="V32" s="113" t="n">
        <f aca="false">IFERROR(V30+V31,"")</f>
        <v>0</v>
      </c>
      <c r="W32" s="113" t="n">
        <f aca="false">IFERROR(W30+W31,"")</f>
        <v>0</v>
      </c>
      <c r="X32" s="113" t="n">
        <f aca="false">IFERROR(X30+X31,"")</f>
        <v>0</v>
      </c>
      <c r="Y32" s="113" t="n">
        <f aca="false">IFERROR(Y30+Y31,"")</f>
        <v>0</v>
      </c>
      <c r="Z32" s="113" t="n">
        <f aca="false">IFERROR(Z30+Z31,"")</f>
        <v>0</v>
      </c>
      <c r="AA32" s="113" t="n">
        <f aca="false">IFERROR(AA30+AA31,"")</f>
        <v>0</v>
      </c>
      <c r="AB32" s="113" t="n">
        <f aca="false">IFERROR(AB30+AB31,"")</f>
        <v>0</v>
      </c>
      <c r="AC32" s="113" t="n">
        <f aca="false">IFERROR(AC30+AC31,"")</f>
        <v>0</v>
      </c>
      <c r="AD32" s="113" t="n">
        <f aca="false">IFERROR(AD30+AD31,"")</f>
        <v>0</v>
      </c>
      <c r="AE32" s="113" t="n">
        <f aca="false">IFERROR(AE30+AE31,"")</f>
        <v>0</v>
      </c>
      <c r="AF32" s="113" t="n">
        <f aca="false">IFERROR(AF30+AF31,"")</f>
        <v>0</v>
      </c>
      <c r="AG32" s="113" t="n">
        <f aca="false">IFERROR(AG30+AG31,"")</f>
        <v>0</v>
      </c>
      <c r="AH32" s="113" t="n">
        <f aca="false">IFERROR(AH30+AH31,"")</f>
        <v>0</v>
      </c>
      <c r="AI32" s="113" t="n">
        <f aca="false">IFERROR(AI30+AI31,"")</f>
        <v>0</v>
      </c>
      <c r="AJ32" s="113" t="n">
        <f aca="false">IFERROR(AJ30+AJ31,"")</f>
        <v>0</v>
      </c>
      <c r="AK32" s="113" t="n">
        <f aca="false">IFERROR(AK30+AK31,"")</f>
        <v>0</v>
      </c>
      <c r="AL32" s="113" t="n">
        <f aca="false">IFERROR(AL30+AL31,"")</f>
        <v>0</v>
      </c>
      <c r="AM32" s="113" t="n">
        <f aca="false">IFERROR(AM30+AM31,"")</f>
        <v>0</v>
      </c>
      <c r="AN32" s="113" t="n">
        <f aca="false">IFERROR(AN30+AN31,"")</f>
        <v>0</v>
      </c>
      <c r="AO32" s="113" t="n">
        <f aca="false">IFERROR(AO30+AO31,"")</f>
        <v>0</v>
      </c>
      <c r="AP32" s="113" t="n">
        <f aca="false">IFERROR(AP30+AP31,"")</f>
        <v>0</v>
      </c>
      <c r="AQ32" s="113" t="n">
        <f aca="false">IFERROR(AQ30+AQ31,"")</f>
        <v>0</v>
      </c>
      <c r="AR32" s="113" t="n">
        <f aca="false">IFERROR(AR30+AR31,"")</f>
        <v>0</v>
      </c>
      <c r="AS32" s="113" t="n">
        <f aca="false">IFERROR(AS30+AS31,"")</f>
        <v>0</v>
      </c>
      <c r="AT32" s="113" t="n">
        <f aca="false">IFERROR(AT30+AT31,"")</f>
        <v>0</v>
      </c>
      <c r="AU32" s="113" t="n">
        <f aca="false">IFERROR(AU30+AU31,"")</f>
        <v>0</v>
      </c>
      <c r="AV32" s="113" t="n">
        <f aca="false">IFERROR(AV30+AV31,"")</f>
        <v>0</v>
      </c>
      <c r="AW32" s="113" t="n">
        <f aca="false">IFERROR(AW30+AW31,"")</f>
        <v>0</v>
      </c>
      <c r="AX32" s="113" t="n">
        <f aca="false">IFERROR(AX30+AX31,"")</f>
        <v>0</v>
      </c>
      <c r="AY32" s="113" t="n">
        <f aca="false">IFERROR(AY30+AY31,"")</f>
        <v>0</v>
      </c>
      <c r="AZ32" s="113" t="n">
        <f aca="false">IFERROR(AZ30+AZ31,"")</f>
        <v>0</v>
      </c>
      <c r="BA32" s="113" t="n">
        <f aca="false">IFERROR(BA30+BA31,"")</f>
        <v>0</v>
      </c>
      <c r="BB32" s="113" t="n">
        <f aca="false">IFERROR(BB30+BB31,"")</f>
        <v>0</v>
      </c>
      <c r="BC32" s="113" t="n">
        <f aca="false">IFERROR(BC30+BC31,"")</f>
        <v>0</v>
      </c>
      <c r="BD32" s="113" t="n">
        <f aca="false">IFERROR(BD30+BD31,"")</f>
        <v>0</v>
      </c>
      <c r="BE32" s="113" t="n">
        <f aca="false">IFERROR(BE30+BE31,"")</f>
        <v>0</v>
      </c>
      <c r="BF32" s="113" t="n">
        <f aca="false">IFERROR(BF30+BF31,"")</f>
        <v>0</v>
      </c>
      <c r="BG32" s="113" t="n">
        <f aca="false">IFERROR(BG30+BG31,"")</f>
        <v>0</v>
      </c>
      <c r="BH32" s="113" t="n">
        <f aca="false">IFERROR(BH30+BH31,"")</f>
        <v>0</v>
      </c>
      <c r="BI32" s="113" t="n">
        <f aca="false">IFERROR(BI30+BI31,"")</f>
        <v>0</v>
      </c>
      <c r="BJ32" s="113" t="n">
        <f aca="false">IFERROR(BJ30+BJ31,"")</f>
        <v>0</v>
      </c>
    </row>
    <row r="33" customFormat="false" ht="15" hidden="false" customHeight="true" outlineLevel="0" collapsed="false">
      <c r="A33" s="112" t="s">
        <v>320</v>
      </c>
      <c r="B33" s="111" t="s">
        <v>289</v>
      </c>
      <c r="C33" s="122" t="n">
        <f aca="false">IFERROR(C29-C32,"")</f>
        <v>0</v>
      </c>
      <c r="D33" s="122" t="n">
        <f aca="false">IFERROR(D29-D32,"")</f>
        <v>0</v>
      </c>
      <c r="E33" s="122" t="n">
        <f aca="false">IFERROR(E29-E32,"")</f>
        <v>0</v>
      </c>
      <c r="F33" s="122" t="n">
        <f aca="false">IFERROR(F29-F32,"")</f>
        <v>0</v>
      </c>
      <c r="G33" s="122" t="n">
        <f aca="false">IFERROR(G29-G32,"")</f>
        <v>0</v>
      </c>
      <c r="H33" s="122" t="n">
        <f aca="false">IFERROR(H29-H32,"")</f>
        <v>0</v>
      </c>
      <c r="I33" s="122" t="n">
        <f aca="false">IFERROR(I29-I32,"")</f>
        <v>0</v>
      </c>
      <c r="J33" s="122" t="n">
        <f aca="false">IFERROR(J29-J32,"")</f>
        <v>0</v>
      </c>
      <c r="K33" s="122" t="n">
        <f aca="false">IFERROR(K29-K32,"")</f>
        <v>0</v>
      </c>
      <c r="L33" s="122" t="n">
        <f aca="false">IFERROR(L29-L32,"")</f>
        <v>0</v>
      </c>
      <c r="M33" s="122" t="n">
        <f aca="false">IFERROR(M29-M32,"")</f>
        <v>0</v>
      </c>
      <c r="N33" s="122" t="n">
        <f aca="false">IFERROR(N29-N32,"")</f>
        <v>0</v>
      </c>
      <c r="O33" s="122" t="n">
        <f aca="false">IFERROR(O29-O32,"")</f>
        <v>0</v>
      </c>
      <c r="P33" s="122" t="n">
        <f aca="false">IFERROR(P29-P32,"")</f>
        <v>0</v>
      </c>
      <c r="Q33" s="122" t="n">
        <f aca="false">IFERROR(Q29-Q32,"")</f>
        <v>0</v>
      </c>
      <c r="R33" s="122" t="n">
        <f aca="false">IFERROR(R29-R32,"")</f>
        <v>0</v>
      </c>
      <c r="S33" s="122" t="n">
        <f aca="false">IFERROR(S29-S32,"")</f>
        <v>0</v>
      </c>
      <c r="T33" s="122" t="n">
        <f aca="false">IFERROR(T29-T32,"")</f>
        <v>0</v>
      </c>
      <c r="U33" s="122" t="n">
        <f aca="false">IFERROR(U29-U32,"")</f>
        <v>0</v>
      </c>
      <c r="V33" s="122" t="n">
        <f aca="false">IFERROR(V29-V32,"")</f>
        <v>0</v>
      </c>
      <c r="W33" s="122" t="n">
        <f aca="false">IFERROR(W29-W32,"")</f>
        <v>0</v>
      </c>
      <c r="X33" s="122" t="n">
        <f aca="false">IFERROR(X29-X32,"")</f>
        <v>0</v>
      </c>
      <c r="Y33" s="122" t="n">
        <f aca="false">IFERROR(Y29-Y32,"")</f>
        <v>0</v>
      </c>
      <c r="Z33" s="122" t="n">
        <f aca="false">IFERROR(Z29-Z32,"")</f>
        <v>0</v>
      </c>
      <c r="AA33" s="122" t="n">
        <f aca="false">IFERROR(AA29-AA32,"")</f>
        <v>0</v>
      </c>
      <c r="AB33" s="122" t="n">
        <f aca="false">IFERROR(AB29-AB32,"")</f>
        <v>0</v>
      </c>
      <c r="AC33" s="122" t="n">
        <f aca="false">IFERROR(AC29-AC32,"")</f>
        <v>0</v>
      </c>
      <c r="AD33" s="122" t="n">
        <f aca="false">IFERROR(AD29-AD32,"")</f>
        <v>0</v>
      </c>
      <c r="AE33" s="122" t="n">
        <f aca="false">IFERROR(AE29-AE32,"")</f>
        <v>0</v>
      </c>
      <c r="AF33" s="122" t="n">
        <f aca="false">IFERROR(AF29-AF32,"")</f>
        <v>0</v>
      </c>
      <c r="AG33" s="122" t="n">
        <f aca="false">IFERROR(AG29-AG32,"")</f>
        <v>0</v>
      </c>
      <c r="AH33" s="122" t="n">
        <f aca="false">IFERROR(AH29-AH32,"")</f>
        <v>0</v>
      </c>
      <c r="AI33" s="122" t="n">
        <f aca="false">IFERROR(AI29-AI32,"")</f>
        <v>0</v>
      </c>
      <c r="AJ33" s="122" t="n">
        <f aca="false">IFERROR(AJ29-AJ32,"")</f>
        <v>0</v>
      </c>
      <c r="AK33" s="122" t="n">
        <f aca="false">IFERROR(AK29-AK32,"")</f>
        <v>0</v>
      </c>
      <c r="AL33" s="122" t="n">
        <f aca="false">IFERROR(AL29-AL32,"")</f>
        <v>0</v>
      </c>
      <c r="AM33" s="122" t="n">
        <f aca="false">IFERROR(AM29-AM32,"")</f>
        <v>0</v>
      </c>
      <c r="AN33" s="122" t="n">
        <f aca="false">IFERROR(AN29-AN32,"")</f>
        <v>0</v>
      </c>
      <c r="AO33" s="122" t="n">
        <f aca="false">IFERROR(AO29-AO32,"")</f>
        <v>0</v>
      </c>
      <c r="AP33" s="122" t="n">
        <f aca="false">IFERROR(AP29-AP32,"")</f>
        <v>0</v>
      </c>
      <c r="AQ33" s="122" t="n">
        <f aca="false">IFERROR(AQ29-AQ32,"")</f>
        <v>0</v>
      </c>
      <c r="AR33" s="122" t="n">
        <f aca="false">IFERROR(AR29-AR32,"")</f>
        <v>0</v>
      </c>
      <c r="AS33" s="122" t="n">
        <f aca="false">IFERROR(AS29-AS32,"")</f>
        <v>0</v>
      </c>
      <c r="AT33" s="122" t="n">
        <f aca="false">IFERROR(AT29-AT32,"")</f>
        <v>0</v>
      </c>
      <c r="AU33" s="122" t="n">
        <f aca="false">IFERROR(AU29-AU32,"")</f>
        <v>0</v>
      </c>
      <c r="AV33" s="122" t="n">
        <f aca="false">IFERROR(AV29-AV32,"")</f>
        <v>0</v>
      </c>
      <c r="AW33" s="122" t="n">
        <f aca="false">IFERROR(AW29-AW32,"")</f>
        <v>0</v>
      </c>
      <c r="AX33" s="122" t="n">
        <f aca="false">IFERROR(AX29-AX32,"")</f>
        <v>0</v>
      </c>
      <c r="AY33" s="122" t="n">
        <f aca="false">IFERROR(AY29-AY32,"")</f>
        <v>0</v>
      </c>
      <c r="AZ33" s="122" t="n">
        <f aca="false">IFERROR(AZ29-AZ32,"")</f>
        <v>0</v>
      </c>
      <c r="BA33" s="122" t="n">
        <f aca="false">IFERROR(BA29-BA32,"")</f>
        <v>0</v>
      </c>
      <c r="BB33" s="122" t="n">
        <f aca="false">IFERROR(BB29-BB32,"")</f>
        <v>0</v>
      </c>
      <c r="BC33" s="122" t="n">
        <f aca="false">IFERROR(BC29-BC32,"")</f>
        <v>0</v>
      </c>
      <c r="BD33" s="122" t="n">
        <f aca="false">IFERROR(BD29-BD32,"")</f>
        <v>0</v>
      </c>
      <c r="BE33" s="122" t="n">
        <f aca="false">IFERROR(BE29-BE32,"")</f>
        <v>0</v>
      </c>
      <c r="BF33" s="122" t="n">
        <f aca="false">IFERROR(BF29-BF32,"")</f>
        <v>0</v>
      </c>
      <c r="BG33" s="122" t="n">
        <f aca="false">IFERROR(BG29-BG32,"")</f>
        <v>0</v>
      </c>
      <c r="BH33" s="122" t="n">
        <f aca="false">IFERROR(BH29-BH32,"")</f>
        <v>0</v>
      </c>
      <c r="BI33" s="122" t="n">
        <f aca="false">IFERROR(BI29-BI32,"")</f>
        <v>0</v>
      </c>
      <c r="BJ33" s="122" t="n">
        <f aca="false">IFERROR(BJ29-BJ32,"")</f>
        <v>0</v>
      </c>
    </row>
    <row r="34" customFormat="false" ht="15" hidden="false" customHeight="true" outlineLevel="0" collapsed="false">
      <c r="A34" s="114" t="s">
        <v>321</v>
      </c>
      <c r="B34" s="111" t="s">
        <v>289</v>
      </c>
      <c r="C34" s="115" t="n">
        <f aca="false">IFERROR(MAX(0,C33)*Assumptions!$B$70,"")</f>
        <v>0</v>
      </c>
      <c r="D34" s="115" t="n">
        <f aca="false">IFERROR(MAX(0,D33)*Assumptions!$B$70,"")</f>
        <v>0</v>
      </c>
      <c r="E34" s="115" t="n">
        <f aca="false">IFERROR(MAX(0,E33)*Assumptions!$B$70,"")</f>
        <v>0</v>
      </c>
      <c r="F34" s="115" t="n">
        <f aca="false">IFERROR(MAX(0,F33)*Assumptions!$B$70,"")</f>
        <v>0</v>
      </c>
      <c r="G34" s="115" t="n">
        <f aca="false">IFERROR(MAX(0,G33)*Assumptions!$B$70,"")</f>
        <v>0</v>
      </c>
      <c r="H34" s="115" t="n">
        <f aca="false">IFERROR(MAX(0,H33)*Assumptions!$B$70,"")</f>
        <v>0</v>
      </c>
      <c r="I34" s="115" t="n">
        <f aca="false">IFERROR(MAX(0,I33)*Assumptions!$B$70,"")</f>
        <v>0</v>
      </c>
      <c r="J34" s="115" t="n">
        <f aca="false">IFERROR(MAX(0,J33)*Assumptions!$B$70,"")</f>
        <v>0</v>
      </c>
      <c r="K34" s="115" t="n">
        <f aca="false">IFERROR(MAX(0,K33)*Assumptions!$B$70,"")</f>
        <v>0</v>
      </c>
      <c r="L34" s="115" t="n">
        <f aca="false">IFERROR(MAX(0,L33)*Assumptions!$B$70,"")</f>
        <v>0</v>
      </c>
      <c r="M34" s="115" t="n">
        <f aca="false">IFERROR(MAX(0,M33)*Assumptions!$B$70,"")</f>
        <v>0</v>
      </c>
      <c r="N34" s="115" t="n">
        <f aca="false">IFERROR(MAX(0,N33)*Assumptions!$B$70,"")</f>
        <v>0</v>
      </c>
      <c r="O34" s="115" t="n">
        <f aca="false">IFERROR(MAX(0,O33)*Assumptions!$B$70,"")</f>
        <v>0</v>
      </c>
      <c r="P34" s="115" t="n">
        <f aca="false">IFERROR(MAX(0,P33)*Assumptions!$B$70,"")</f>
        <v>0</v>
      </c>
      <c r="Q34" s="115" t="n">
        <f aca="false">IFERROR(MAX(0,Q33)*Assumptions!$B$70,"")</f>
        <v>0</v>
      </c>
      <c r="R34" s="115" t="n">
        <f aca="false">IFERROR(MAX(0,R33)*Assumptions!$B$70,"")</f>
        <v>0</v>
      </c>
      <c r="S34" s="115" t="n">
        <f aca="false">IFERROR(MAX(0,S33)*Assumptions!$B$70,"")</f>
        <v>0</v>
      </c>
      <c r="T34" s="115" t="n">
        <f aca="false">IFERROR(MAX(0,T33)*Assumptions!$B$70,"")</f>
        <v>0</v>
      </c>
      <c r="U34" s="115" t="n">
        <f aca="false">IFERROR(MAX(0,U33)*Assumptions!$B$70,"")</f>
        <v>0</v>
      </c>
      <c r="V34" s="115" t="n">
        <f aca="false">IFERROR(MAX(0,V33)*Assumptions!$B$70,"")</f>
        <v>0</v>
      </c>
      <c r="W34" s="115" t="n">
        <f aca="false">IFERROR(MAX(0,W33)*Assumptions!$B$70,"")</f>
        <v>0</v>
      </c>
      <c r="X34" s="115" t="n">
        <f aca="false">IFERROR(MAX(0,X33)*Assumptions!$B$70,"")</f>
        <v>0</v>
      </c>
      <c r="Y34" s="115" t="n">
        <f aca="false">IFERROR(MAX(0,Y33)*Assumptions!$B$70,"")</f>
        <v>0</v>
      </c>
      <c r="Z34" s="115" t="n">
        <f aca="false">IFERROR(MAX(0,Z33)*Assumptions!$B$70,"")</f>
        <v>0</v>
      </c>
      <c r="AA34" s="115" t="n">
        <f aca="false">IFERROR(MAX(0,AA33)*Assumptions!$B$70,"")</f>
        <v>0</v>
      </c>
      <c r="AB34" s="115" t="n">
        <f aca="false">IFERROR(MAX(0,AB33)*Assumptions!$B$70,"")</f>
        <v>0</v>
      </c>
      <c r="AC34" s="115" t="n">
        <f aca="false">IFERROR(MAX(0,AC33)*Assumptions!$B$70,"")</f>
        <v>0</v>
      </c>
      <c r="AD34" s="115" t="n">
        <f aca="false">IFERROR(MAX(0,AD33)*Assumptions!$B$70,"")</f>
        <v>0</v>
      </c>
      <c r="AE34" s="115" t="n">
        <f aca="false">IFERROR(MAX(0,AE33)*Assumptions!$B$70,"")</f>
        <v>0</v>
      </c>
      <c r="AF34" s="115" t="n">
        <f aca="false">IFERROR(MAX(0,AF33)*Assumptions!$B$70,"")</f>
        <v>0</v>
      </c>
      <c r="AG34" s="115" t="n">
        <f aca="false">IFERROR(MAX(0,AG33)*Assumptions!$B$70,"")</f>
        <v>0</v>
      </c>
      <c r="AH34" s="115" t="n">
        <f aca="false">IFERROR(MAX(0,AH33)*Assumptions!$B$70,"")</f>
        <v>0</v>
      </c>
      <c r="AI34" s="115" t="n">
        <f aca="false">IFERROR(MAX(0,AI33)*Assumptions!$B$70,"")</f>
        <v>0</v>
      </c>
      <c r="AJ34" s="115" t="n">
        <f aca="false">IFERROR(MAX(0,AJ33)*Assumptions!$B$70,"")</f>
        <v>0</v>
      </c>
      <c r="AK34" s="115" t="n">
        <f aca="false">IFERROR(MAX(0,AK33)*Assumptions!$B$70,"")</f>
        <v>0</v>
      </c>
      <c r="AL34" s="115" t="n">
        <f aca="false">IFERROR(MAX(0,AL33)*Assumptions!$B$70,"")</f>
        <v>0</v>
      </c>
      <c r="AM34" s="115" t="n">
        <f aca="false">IFERROR(MAX(0,AM33)*Assumptions!$B$70,"")</f>
        <v>0</v>
      </c>
      <c r="AN34" s="115" t="n">
        <f aca="false">IFERROR(MAX(0,AN33)*Assumptions!$B$70,"")</f>
        <v>0</v>
      </c>
      <c r="AO34" s="115" t="n">
        <f aca="false">IFERROR(MAX(0,AO33)*Assumptions!$B$70,"")</f>
        <v>0</v>
      </c>
      <c r="AP34" s="115" t="n">
        <f aca="false">IFERROR(MAX(0,AP33)*Assumptions!$B$70,"")</f>
        <v>0</v>
      </c>
      <c r="AQ34" s="115" t="n">
        <f aca="false">IFERROR(MAX(0,AQ33)*Assumptions!$B$70,"")</f>
        <v>0</v>
      </c>
      <c r="AR34" s="115" t="n">
        <f aca="false">IFERROR(MAX(0,AR33)*Assumptions!$B$70,"")</f>
        <v>0</v>
      </c>
      <c r="AS34" s="115" t="n">
        <f aca="false">IFERROR(MAX(0,AS33)*Assumptions!$B$70,"")</f>
        <v>0</v>
      </c>
      <c r="AT34" s="115" t="n">
        <f aca="false">IFERROR(MAX(0,AT33)*Assumptions!$B$70,"")</f>
        <v>0</v>
      </c>
      <c r="AU34" s="115" t="n">
        <f aca="false">IFERROR(MAX(0,AU33)*Assumptions!$B$70,"")</f>
        <v>0</v>
      </c>
      <c r="AV34" s="115" t="n">
        <f aca="false">IFERROR(MAX(0,AV33)*Assumptions!$B$70,"")</f>
        <v>0</v>
      </c>
      <c r="AW34" s="115" t="n">
        <f aca="false">IFERROR(MAX(0,AW33)*Assumptions!$B$70,"")</f>
        <v>0</v>
      </c>
      <c r="AX34" s="115" t="n">
        <f aca="false">IFERROR(MAX(0,AX33)*Assumptions!$B$70,"")</f>
        <v>0</v>
      </c>
      <c r="AY34" s="115" t="n">
        <f aca="false">IFERROR(MAX(0,AY33)*Assumptions!$B$70,"")</f>
        <v>0</v>
      </c>
      <c r="AZ34" s="115" t="n">
        <f aca="false">IFERROR(MAX(0,AZ33)*Assumptions!$B$70,"")</f>
        <v>0</v>
      </c>
      <c r="BA34" s="115" t="n">
        <f aca="false">IFERROR(MAX(0,BA33)*Assumptions!$B$70,"")</f>
        <v>0</v>
      </c>
      <c r="BB34" s="115" t="n">
        <f aca="false">IFERROR(MAX(0,BB33)*Assumptions!$B$70,"")</f>
        <v>0</v>
      </c>
      <c r="BC34" s="115" t="n">
        <f aca="false">IFERROR(MAX(0,BC33)*Assumptions!$B$70,"")</f>
        <v>0</v>
      </c>
      <c r="BD34" s="115" t="n">
        <f aca="false">IFERROR(MAX(0,BD33)*Assumptions!$B$70,"")</f>
        <v>0</v>
      </c>
      <c r="BE34" s="115" t="n">
        <f aca="false">IFERROR(MAX(0,BE33)*Assumptions!$B$70,"")</f>
        <v>0</v>
      </c>
      <c r="BF34" s="115" t="n">
        <f aca="false">IFERROR(MAX(0,BF33)*Assumptions!$B$70,"")</f>
        <v>0</v>
      </c>
      <c r="BG34" s="115" t="n">
        <f aca="false">IFERROR(MAX(0,BG33)*Assumptions!$B$70,"")</f>
        <v>0</v>
      </c>
      <c r="BH34" s="115" t="n">
        <f aca="false">IFERROR(MAX(0,BH33)*Assumptions!$B$70,"")</f>
        <v>0</v>
      </c>
      <c r="BI34" s="115" t="n">
        <f aca="false">IFERROR(MAX(0,BI33)*Assumptions!$B$70,"")</f>
        <v>0</v>
      </c>
      <c r="BJ34" s="115" t="n">
        <f aca="false">IFERROR(MAX(0,BJ33)*Assumptions!$B$70,"")</f>
        <v>0</v>
      </c>
    </row>
    <row r="35" customFormat="false" ht="15" hidden="false" customHeight="true" outlineLevel="0" collapsed="false">
      <c r="A35" s="112" t="s">
        <v>322</v>
      </c>
      <c r="B35" s="111" t="s">
        <v>289</v>
      </c>
      <c r="C35" s="119" t="n">
        <f aca="false">IFERROR(C33-C34,"")</f>
        <v>0</v>
      </c>
      <c r="D35" s="119" t="n">
        <f aca="false">IFERROR(D33-D34,"")</f>
        <v>0</v>
      </c>
      <c r="E35" s="119" t="n">
        <f aca="false">IFERROR(E33-E34,"")</f>
        <v>0</v>
      </c>
      <c r="F35" s="119" t="n">
        <f aca="false">IFERROR(F33-F34,"")</f>
        <v>0</v>
      </c>
      <c r="G35" s="119" t="n">
        <f aca="false">IFERROR(G33-G34,"")</f>
        <v>0</v>
      </c>
      <c r="H35" s="119" t="n">
        <f aca="false">IFERROR(H33-H34,"")</f>
        <v>0</v>
      </c>
      <c r="I35" s="119" t="n">
        <f aca="false">IFERROR(I33-I34,"")</f>
        <v>0</v>
      </c>
      <c r="J35" s="119" t="n">
        <f aca="false">IFERROR(J33-J34,"")</f>
        <v>0</v>
      </c>
      <c r="K35" s="119" t="n">
        <f aca="false">IFERROR(K33-K34,"")</f>
        <v>0</v>
      </c>
      <c r="L35" s="119" t="n">
        <f aca="false">IFERROR(L33-L34,"")</f>
        <v>0</v>
      </c>
      <c r="M35" s="119" t="n">
        <f aca="false">IFERROR(M33-M34,"")</f>
        <v>0</v>
      </c>
      <c r="N35" s="119" t="n">
        <f aca="false">IFERROR(N33-N34,"")</f>
        <v>0</v>
      </c>
      <c r="O35" s="119" t="n">
        <f aca="false">IFERROR(O33-O34,"")</f>
        <v>0</v>
      </c>
      <c r="P35" s="119" t="n">
        <f aca="false">IFERROR(P33-P34,"")</f>
        <v>0</v>
      </c>
      <c r="Q35" s="119" t="n">
        <f aca="false">IFERROR(Q33-Q34,"")</f>
        <v>0</v>
      </c>
      <c r="R35" s="119" t="n">
        <f aca="false">IFERROR(R33-R34,"")</f>
        <v>0</v>
      </c>
      <c r="S35" s="119" t="n">
        <f aca="false">IFERROR(S33-S34,"")</f>
        <v>0</v>
      </c>
      <c r="T35" s="119" t="n">
        <f aca="false">IFERROR(T33-T34,"")</f>
        <v>0</v>
      </c>
      <c r="U35" s="119" t="n">
        <f aca="false">IFERROR(U33-U34,"")</f>
        <v>0</v>
      </c>
      <c r="V35" s="119" t="n">
        <f aca="false">IFERROR(V33-V34,"")</f>
        <v>0</v>
      </c>
      <c r="W35" s="119" t="n">
        <f aca="false">IFERROR(W33-W34,"")</f>
        <v>0</v>
      </c>
      <c r="X35" s="119" t="n">
        <f aca="false">IFERROR(X33-X34,"")</f>
        <v>0</v>
      </c>
      <c r="Y35" s="119" t="n">
        <f aca="false">IFERROR(Y33-Y34,"")</f>
        <v>0</v>
      </c>
      <c r="Z35" s="119" t="n">
        <f aca="false">IFERROR(Z33-Z34,"")</f>
        <v>0</v>
      </c>
      <c r="AA35" s="119" t="n">
        <f aca="false">IFERROR(AA33-AA34,"")</f>
        <v>0</v>
      </c>
      <c r="AB35" s="119" t="n">
        <f aca="false">IFERROR(AB33-AB34,"")</f>
        <v>0</v>
      </c>
      <c r="AC35" s="119" t="n">
        <f aca="false">IFERROR(AC33-AC34,"")</f>
        <v>0</v>
      </c>
      <c r="AD35" s="119" t="n">
        <f aca="false">IFERROR(AD33-AD34,"")</f>
        <v>0</v>
      </c>
      <c r="AE35" s="119" t="n">
        <f aca="false">IFERROR(AE33-AE34,"")</f>
        <v>0</v>
      </c>
      <c r="AF35" s="119" t="n">
        <f aca="false">IFERROR(AF33-AF34,"")</f>
        <v>0</v>
      </c>
      <c r="AG35" s="119" t="n">
        <f aca="false">IFERROR(AG33-AG34,"")</f>
        <v>0</v>
      </c>
      <c r="AH35" s="119" t="n">
        <f aca="false">IFERROR(AH33-AH34,"")</f>
        <v>0</v>
      </c>
      <c r="AI35" s="119" t="n">
        <f aca="false">IFERROR(AI33-AI34,"")</f>
        <v>0</v>
      </c>
      <c r="AJ35" s="119" t="n">
        <f aca="false">IFERROR(AJ33-AJ34,"")</f>
        <v>0</v>
      </c>
      <c r="AK35" s="119" t="n">
        <f aca="false">IFERROR(AK33-AK34,"")</f>
        <v>0</v>
      </c>
      <c r="AL35" s="119" t="n">
        <f aca="false">IFERROR(AL33-AL34,"")</f>
        <v>0</v>
      </c>
      <c r="AM35" s="119" t="n">
        <f aca="false">IFERROR(AM33-AM34,"")</f>
        <v>0</v>
      </c>
      <c r="AN35" s="119" t="n">
        <f aca="false">IFERROR(AN33-AN34,"")</f>
        <v>0</v>
      </c>
      <c r="AO35" s="119" t="n">
        <f aca="false">IFERROR(AO33-AO34,"")</f>
        <v>0</v>
      </c>
      <c r="AP35" s="119" t="n">
        <f aca="false">IFERROR(AP33-AP34,"")</f>
        <v>0</v>
      </c>
      <c r="AQ35" s="119" t="n">
        <f aca="false">IFERROR(AQ33-AQ34,"")</f>
        <v>0</v>
      </c>
      <c r="AR35" s="119" t="n">
        <f aca="false">IFERROR(AR33-AR34,"")</f>
        <v>0</v>
      </c>
      <c r="AS35" s="119" t="n">
        <f aca="false">IFERROR(AS33-AS34,"")</f>
        <v>0</v>
      </c>
      <c r="AT35" s="119" t="n">
        <f aca="false">IFERROR(AT33-AT34,"")</f>
        <v>0</v>
      </c>
      <c r="AU35" s="119" t="n">
        <f aca="false">IFERROR(AU33-AU34,"")</f>
        <v>0</v>
      </c>
      <c r="AV35" s="119" t="n">
        <f aca="false">IFERROR(AV33-AV34,"")</f>
        <v>0</v>
      </c>
      <c r="AW35" s="119" t="n">
        <f aca="false">IFERROR(AW33-AW34,"")</f>
        <v>0</v>
      </c>
      <c r="AX35" s="119" t="n">
        <f aca="false">IFERROR(AX33-AX34,"")</f>
        <v>0</v>
      </c>
      <c r="AY35" s="119" t="n">
        <f aca="false">IFERROR(AY33-AY34,"")</f>
        <v>0</v>
      </c>
      <c r="AZ35" s="119" t="n">
        <f aca="false">IFERROR(AZ33-AZ34,"")</f>
        <v>0</v>
      </c>
      <c r="BA35" s="119" t="n">
        <f aca="false">IFERROR(BA33-BA34,"")</f>
        <v>0</v>
      </c>
      <c r="BB35" s="119" t="n">
        <f aca="false">IFERROR(BB33-BB34,"")</f>
        <v>0</v>
      </c>
      <c r="BC35" s="119" t="n">
        <f aca="false">IFERROR(BC33-BC34,"")</f>
        <v>0</v>
      </c>
      <c r="BD35" s="119" t="n">
        <f aca="false">IFERROR(BD33-BD34,"")</f>
        <v>0</v>
      </c>
      <c r="BE35" s="119" t="n">
        <f aca="false">IFERROR(BE33-BE34,"")</f>
        <v>0</v>
      </c>
      <c r="BF35" s="119" t="n">
        <f aca="false">IFERROR(BF33-BF34,"")</f>
        <v>0</v>
      </c>
      <c r="BG35" s="119" t="n">
        <f aca="false">IFERROR(BG33-BG34,"")</f>
        <v>0</v>
      </c>
      <c r="BH35" s="119" t="n">
        <f aca="false">IFERROR(BH33-BH34,"")</f>
        <v>0</v>
      </c>
      <c r="BI35" s="119" t="n">
        <f aca="false">IFERROR(BI33-BI34,"")</f>
        <v>0</v>
      </c>
      <c r="BJ35" s="119" t="n">
        <f aca="false">IFERROR(BJ33-BJ34,"")</f>
        <v>0</v>
      </c>
    </row>
    <row r="36" customFormat="false" ht="15" hidden="false" customHeight="true" outlineLevel="0" collapsed="false">
      <c r="A36" s="114" t="s">
        <v>323</v>
      </c>
      <c r="B36" s="111" t="s">
        <v>112</v>
      </c>
      <c r="C36" s="116" t="n">
        <f aca="false">IFERROR(IF(C8=0,0,C35/C8),"")</f>
        <v>0</v>
      </c>
      <c r="D36" s="116" t="n">
        <f aca="false">IFERROR(IF(D8=0,0,D35/D8),"")</f>
        <v>0</v>
      </c>
      <c r="E36" s="116" t="n">
        <f aca="false">IFERROR(IF(E8=0,0,E35/E8),"")</f>
        <v>0</v>
      </c>
      <c r="F36" s="116" t="n">
        <f aca="false">IFERROR(IF(F8=0,0,F35/F8),"")</f>
        <v>0</v>
      </c>
      <c r="G36" s="116" t="n">
        <f aca="false">IFERROR(IF(G8=0,0,G35/G8),"")</f>
        <v>0</v>
      </c>
      <c r="H36" s="116" t="n">
        <f aca="false">IFERROR(IF(H8=0,0,H35/H8),"")</f>
        <v>0</v>
      </c>
      <c r="I36" s="116" t="n">
        <f aca="false">IFERROR(IF(I8=0,0,I35/I8),"")</f>
        <v>0</v>
      </c>
      <c r="J36" s="116" t="n">
        <f aca="false">IFERROR(IF(J8=0,0,J35/J8),"")</f>
        <v>0</v>
      </c>
      <c r="K36" s="116" t="n">
        <f aca="false">IFERROR(IF(K8=0,0,K35/K8),"")</f>
        <v>0</v>
      </c>
      <c r="L36" s="116" t="n">
        <f aca="false">IFERROR(IF(L8=0,0,L35/L8),"")</f>
        <v>0</v>
      </c>
      <c r="M36" s="116" t="n">
        <f aca="false">IFERROR(IF(M8=0,0,M35/M8),"")</f>
        <v>0</v>
      </c>
      <c r="N36" s="116" t="n">
        <f aca="false">IFERROR(IF(N8=0,0,N35/N8),"")</f>
        <v>0</v>
      </c>
      <c r="O36" s="116" t="n">
        <f aca="false">IFERROR(IF(O8=0,0,O35/O8),"")</f>
        <v>0</v>
      </c>
      <c r="P36" s="116" t="n">
        <f aca="false">IFERROR(IF(P8=0,0,P35/P8),"")</f>
        <v>0</v>
      </c>
      <c r="Q36" s="116" t="n">
        <f aca="false">IFERROR(IF(Q8=0,0,Q35/Q8),"")</f>
        <v>0</v>
      </c>
      <c r="R36" s="116" t="n">
        <f aca="false">IFERROR(IF(R8=0,0,R35/R8),"")</f>
        <v>0</v>
      </c>
      <c r="S36" s="116" t="n">
        <f aca="false">IFERROR(IF(S8=0,0,S35/S8),"")</f>
        <v>0</v>
      </c>
      <c r="T36" s="116" t="n">
        <f aca="false">IFERROR(IF(T8=0,0,T35/T8),"")</f>
        <v>0</v>
      </c>
      <c r="U36" s="116" t="n">
        <f aca="false">IFERROR(IF(U8=0,0,U35/U8),"")</f>
        <v>0</v>
      </c>
      <c r="V36" s="116" t="n">
        <f aca="false">IFERROR(IF(V8=0,0,V35/V8),"")</f>
        <v>0</v>
      </c>
      <c r="W36" s="116" t="n">
        <f aca="false">IFERROR(IF(W8=0,0,W35/W8),"")</f>
        <v>0</v>
      </c>
      <c r="X36" s="116" t="n">
        <f aca="false">IFERROR(IF(X8=0,0,X35/X8),"")</f>
        <v>0</v>
      </c>
      <c r="Y36" s="116" t="n">
        <f aca="false">IFERROR(IF(Y8=0,0,Y35/Y8),"")</f>
        <v>0</v>
      </c>
      <c r="Z36" s="116" t="n">
        <f aca="false">IFERROR(IF(Z8=0,0,Z35/Z8),"")</f>
        <v>0</v>
      </c>
      <c r="AA36" s="116" t="n">
        <f aca="false">IFERROR(IF(AA8=0,0,AA35/AA8),"")</f>
        <v>0</v>
      </c>
      <c r="AB36" s="116" t="n">
        <f aca="false">IFERROR(IF(AB8=0,0,AB35/AB8),"")</f>
        <v>0</v>
      </c>
      <c r="AC36" s="116" t="n">
        <f aca="false">IFERROR(IF(AC8=0,0,AC35/AC8),"")</f>
        <v>0</v>
      </c>
      <c r="AD36" s="116" t="n">
        <f aca="false">IFERROR(IF(AD8=0,0,AD35/AD8),"")</f>
        <v>0</v>
      </c>
      <c r="AE36" s="116" t="n">
        <f aca="false">IFERROR(IF(AE8=0,0,AE35/AE8),"")</f>
        <v>0</v>
      </c>
      <c r="AF36" s="116" t="n">
        <f aca="false">IFERROR(IF(AF8=0,0,AF35/AF8),"")</f>
        <v>0</v>
      </c>
      <c r="AG36" s="116" t="n">
        <f aca="false">IFERROR(IF(AG8=0,0,AG35/AG8),"")</f>
        <v>0</v>
      </c>
      <c r="AH36" s="116" t="n">
        <f aca="false">IFERROR(IF(AH8=0,0,AH35/AH8),"")</f>
        <v>0</v>
      </c>
      <c r="AI36" s="116" t="n">
        <f aca="false">IFERROR(IF(AI8=0,0,AI35/AI8),"")</f>
        <v>0</v>
      </c>
      <c r="AJ36" s="116" t="n">
        <f aca="false">IFERROR(IF(AJ8=0,0,AJ35/AJ8),"")</f>
        <v>0</v>
      </c>
      <c r="AK36" s="116" t="n">
        <f aca="false">IFERROR(IF(AK8=0,0,AK35/AK8),"")</f>
        <v>0</v>
      </c>
      <c r="AL36" s="116" t="n">
        <f aca="false">IFERROR(IF(AL8=0,0,AL35/AL8),"")</f>
        <v>0</v>
      </c>
      <c r="AM36" s="116" t="n">
        <f aca="false">IFERROR(IF(AM8=0,0,AM35/AM8),"")</f>
        <v>0</v>
      </c>
      <c r="AN36" s="116" t="n">
        <f aca="false">IFERROR(IF(AN8=0,0,AN35/AN8),"")</f>
        <v>0</v>
      </c>
      <c r="AO36" s="116" t="n">
        <f aca="false">IFERROR(IF(AO8=0,0,AO35/AO8),"")</f>
        <v>0</v>
      </c>
      <c r="AP36" s="116" t="n">
        <f aca="false">IFERROR(IF(AP8=0,0,AP35/AP8),"")</f>
        <v>0</v>
      </c>
      <c r="AQ36" s="116" t="n">
        <f aca="false">IFERROR(IF(AQ8=0,0,AQ35/AQ8),"")</f>
        <v>0</v>
      </c>
      <c r="AR36" s="116" t="n">
        <f aca="false">IFERROR(IF(AR8=0,0,AR35/AR8),"")</f>
        <v>0</v>
      </c>
      <c r="AS36" s="116" t="n">
        <f aca="false">IFERROR(IF(AS8=0,0,AS35/AS8),"")</f>
        <v>0</v>
      </c>
      <c r="AT36" s="116" t="n">
        <f aca="false">IFERROR(IF(AT8=0,0,AT35/AT8),"")</f>
        <v>0</v>
      </c>
      <c r="AU36" s="116" t="n">
        <f aca="false">IFERROR(IF(AU8=0,0,AU35/AU8),"")</f>
        <v>0</v>
      </c>
      <c r="AV36" s="116" t="n">
        <f aca="false">IFERROR(IF(AV8=0,0,AV35/AV8),"")</f>
        <v>0</v>
      </c>
      <c r="AW36" s="116" t="n">
        <f aca="false">IFERROR(IF(AW8=0,0,AW35/AW8),"")</f>
        <v>0</v>
      </c>
      <c r="AX36" s="116" t="n">
        <f aca="false">IFERROR(IF(AX8=0,0,AX35/AX8),"")</f>
        <v>0</v>
      </c>
      <c r="AY36" s="116" t="n">
        <f aca="false">IFERROR(IF(AY8=0,0,AY35/AY8),"")</f>
        <v>0</v>
      </c>
      <c r="AZ36" s="116" t="n">
        <f aca="false">IFERROR(IF(AZ8=0,0,AZ35/AZ8),"")</f>
        <v>0</v>
      </c>
      <c r="BA36" s="116" t="n">
        <f aca="false">IFERROR(IF(BA8=0,0,BA35/BA8),"")</f>
        <v>0</v>
      </c>
      <c r="BB36" s="116" t="n">
        <f aca="false">IFERROR(IF(BB8=0,0,BB35/BB8),"")</f>
        <v>0</v>
      </c>
      <c r="BC36" s="116" t="n">
        <f aca="false">IFERROR(IF(BC8=0,0,BC35/BC8),"")</f>
        <v>0</v>
      </c>
      <c r="BD36" s="116" t="n">
        <f aca="false">IFERROR(IF(BD8=0,0,BD35/BD8),"")</f>
        <v>0</v>
      </c>
      <c r="BE36" s="116" t="n">
        <f aca="false">IFERROR(IF(BE8=0,0,BE35/BE8),"")</f>
        <v>0</v>
      </c>
      <c r="BF36" s="116" t="n">
        <f aca="false">IFERROR(IF(BF8=0,0,BF35/BF8),"")</f>
        <v>0</v>
      </c>
      <c r="BG36" s="116" t="n">
        <f aca="false">IFERROR(IF(BG8=0,0,BG35/BG8),"")</f>
        <v>0</v>
      </c>
      <c r="BH36" s="116" t="n">
        <f aca="false">IFERROR(IF(BH8=0,0,BH35/BH8),"")</f>
        <v>0</v>
      </c>
      <c r="BI36" s="116" t="n">
        <f aca="false">IFERROR(IF(BI8=0,0,BI35/BI8),"")</f>
        <v>0</v>
      </c>
      <c r="BJ36" s="116" t="n">
        <f aca="false">IFERROR(IF(BJ8=0,0,BJ35/BJ8),"")</f>
        <v>0</v>
      </c>
    </row>
    <row r="37" customFormat="false" ht="15" hidden="false" customHeight="true" outlineLevel="0" collapsed="false">
      <c r="A37" s="112" t="s">
        <v>324</v>
      </c>
      <c r="B37" s="111" t="s">
        <v>289</v>
      </c>
      <c r="C37" s="113" t="n">
        <f aca="false">IFERROR(C35,"")</f>
        <v>0</v>
      </c>
      <c r="D37" s="113" t="n">
        <f aca="false">IFERROR(C37+D35,"")</f>
        <v>0</v>
      </c>
      <c r="E37" s="113" t="n">
        <f aca="false">IFERROR(D37+E35,"")</f>
        <v>0</v>
      </c>
      <c r="F37" s="113" t="n">
        <f aca="false">IFERROR(E37+F35,"")</f>
        <v>0</v>
      </c>
      <c r="G37" s="113" t="n">
        <f aca="false">IFERROR(F37+G35,"")</f>
        <v>0</v>
      </c>
      <c r="H37" s="113" t="n">
        <f aca="false">IFERROR(G37+H35,"")</f>
        <v>0</v>
      </c>
      <c r="I37" s="113" t="n">
        <f aca="false">IFERROR(H37+I35,"")</f>
        <v>0</v>
      </c>
      <c r="J37" s="113" t="n">
        <f aca="false">IFERROR(I37+J35,"")</f>
        <v>0</v>
      </c>
      <c r="K37" s="113" t="n">
        <f aca="false">IFERROR(J37+K35,"")</f>
        <v>0</v>
      </c>
      <c r="L37" s="113" t="n">
        <f aca="false">IFERROR(K37+L35,"")</f>
        <v>0</v>
      </c>
      <c r="M37" s="113" t="n">
        <f aca="false">IFERROR(L37+M35,"")</f>
        <v>0</v>
      </c>
      <c r="N37" s="113" t="n">
        <f aca="false">IFERROR(M37+N35,"")</f>
        <v>0</v>
      </c>
      <c r="O37" s="113" t="n">
        <f aca="false">IFERROR(N37+O35,"")</f>
        <v>0</v>
      </c>
      <c r="P37" s="113" t="n">
        <f aca="false">IFERROR(O37+P35,"")</f>
        <v>0</v>
      </c>
      <c r="Q37" s="113" t="n">
        <f aca="false">IFERROR(P37+Q35,"")</f>
        <v>0</v>
      </c>
      <c r="R37" s="113" t="n">
        <f aca="false">IFERROR(Q37+R35,"")</f>
        <v>0</v>
      </c>
      <c r="S37" s="113" t="n">
        <f aca="false">IFERROR(R37+S35,"")</f>
        <v>0</v>
      </c>
      <c r="T37" s="113" t="n">
        <f aca="false">IFERROR(S37+T35,"")</f>
        <v>0</v>
      </c>
      <c r="U37" s="113" t="n">
        <f aca="false">IFERROR(T37+U35,"")</f>
        <v>0</v>
      </c>
      <c r="V37" s="113" t="n">
        <f aca="false">IFERROR(U37+V35,"")</f>
        <v>0</v>
      </c>
      <c r="W37" s="113" t="n">
        <f aca="false">IFERROR(V37+W35,"")</f>
        <v>0</v>
      </c>
      <c r="X37" s="113" t="n">
        <f aca="false">IFERROR(W37+X35,"")</f>
        <v>0</v>
      </c>
      <c r="Y37" s="113" t="n">
        <f aca="false">IFERROR(X37+Y35,"")</f>
        <v>0</v>
      </c>
      <c r="Z37" s="113" t="n">
        <f aca="false">IFERROR(Y37+Z35,"")</f>
        <v>0</v>
      </c>
      <c r="AA37" s="113" t="n">
        <f aca="false">IFERROR(Z37+AA35,"")</f>
        <v>0</v>
      </c>
      <c r="AB37" s="113" t="n">
        <f aca="false">IFERROR(AA37+AB35,"")</f>
        <v>0</v>
      </c>
      <c r="AC37" s="113" t="n">
        <f aca="false">IFERROR(AB37+AC35,"")</f>
        <v>0</v>
      </c>
      <c r="AD37" s="113" t="n">
        <f aca="false">IFERROR(AC37+AD35,"")</f>
        <v>0</v>
      </c>
      <c r="AE37" s="113" t="n">
        <f aca="false">IFERROR(AD37+AE35,"")</f>
        <v>0</v>
      </c>
      <c r="AF37" s="113" t="n">
        <f aca="false">IFERROR(AE37+AF35,"")</f>
        <v>0</v>
      </c>
      <c r="AG37" s="113" t="n">
        <f aca="false">IFERROR(AF37+AG35,"")</f>
        <v>0</v>
      </c>
      <c r="AH37" s="113" t="n">
        <f aca="false">IFERROR(AG37+AH35,"")</f>
        <v>0</v>
      </c>
      <c r="AI37" s="113" t="n">
        <f aca="false">IFERROR(AH37+AI35,"")</f>
        <v>0</v>
      </c>
      <c r="AJ37" s="113" t="n">
        <f aca="false">IFERROR(AI37+AJ35,"")</f>
        <v>0</v>
      </c>
      <c r="AK37" s="113" t="n">
        <f aca="false">IFERROR(AJ37+AK35,"")</f>
        <v>0</v>
      </c>
      <c r="AL37" s="113" t="n">
        <f aca="false">IFERROR(AK37+AL35,"")</f>
        <v>0</v>
      </c>
      <c r="AM37" s="113" t="n">
        <f aca="false">IFERROR(AL37+AM35,"")</f>
        <v>0</v>
      </c>
      <c r="AN37" s="113" t="n">
        <f aca="false">IFERROR(AM37+AN35,"")</f>
        <v>0</v>
      </c>
      <c r="AO37" s="113" t="n">
        <f aca="false">IFERROR(AN37+AO35,"")</f>
        <v>0</v>
      </c>
      <c r="AP37" s="113" t="n">
        <f aca="false">IFERROR(AO37+AP35,"")</f>
        <v>0</v>
      </c>
      <c r="AQ37" s="113" t="n">
        <f aca="false">IFERROR(AP37+AQ35,"")</f>
        <v>0</v>
      </c>
      <c r="AR37" s="113" t="n">
        <f aca="false">IFERROR(AQ37+AR35,"")</f>
        <v>0</v>
      </c>
      <c r="AS37" s="113" t="n">
        <f aca="false">IFERROR(AR37+AS35,"")</f>
        <v>0</v>
      </c>
      <c r="AT37" s="113" t="n">
        <f aca="false">IFERROR(AS37+AT35,"")</f>
        <v>0</v>
      </c>
      <c r="AU37" s="113" t="n">
        <f aca="false">IFERROR(AT37+AU35,"")</f>
        <v>0</v>
      </c>
      <c r="AV37" s="113" t="n">
        <f aca="false">IFERROR(AU37+AV35,"")</f>
        <v>0</v>
      </c>
      <c r="AW37" s="113" t="n">
        <f aca="false">IFERROR(AV37+AW35,"")</f>
        <v>0</v>
      </c>
      <c r="AX37" s="113" t="n">
        <f aca="false">IFERROR(AW37+AX35,"")</f>
        <v>0</v>
      </c>
      <c r="AY37" s="113" t="n">
        <f aca="false">IFERROR(AX37+AY35,"")</f>
        <v>0</v>
      </c>
      <c r="AZ37" s="113" t="n">
        <f aca="false">IFERROR(AY37+AZ35,"")</f>
        <v>0</v>
      </c>
      <c r="BA37" s="113" t="n">
        <f aca="false">IFERROR(AZ37+BA35,"")</f>
        <v>0</v>
      </c>
      <c r="BB37" s="113" t="n">
        <f aca="false">IFERROR(BA37+BB35,"")</f>
        <v>0</v>
      </c>
      <c r="BC37" s="113" t="n">
        <f aca="false">IFERROR(BB37+BC35,"")</f>
        <v>0</v>
      </c>
      <c r="BD37" s="113" t="n">
        <f aca="false">IFERROR(BC37+BD35,"")</f>
        <v>0</v>
      </c>
      <c r="BE37" s="113" t="n">
        <f aca="false">IFERROR(BD37+BE35,"")</f>
        <v>0</v>
      </c>
      <c r="BF37" s="113" t="n">
        <f aca="false">IFERROR(BE37+BF35,"")</f>
        <v>0</v>
      </c>
      <c r="BG37" s="113" t="n">
        <f aca="false">IFERROR(BF37+BG35,"")</f>
        <v>0</v>
      </c>
      <c r="BH37" s="113" t="n">
        <f aca="false">IFERROR(BG37+BH35,"")</f>
        <v>0</v>
      </c>
      <c r="BI37" s="113" t="n">
        <f aca="false">IFERROR(BH37+BI35,"")</f>
        <v>0</v>
      </c>
      <c r="BJ37" s="113" t="n">
        <f aca="false">IFERROR(BI37+BJ35,"")</f>
        <v>0</v>
      </c>
    </row>
  </sheetData>
  <mergeCells count="7">
    <mergeCell ref="A1:BJ1"/>
    <mergeCell ref="A2:BJ2"/>
    <mergeCell ref="C3:N3"/>
    <mergeCell ref="O3:Z3"/>
    <mergeCell ref="AA3:AL3"/>
    <mergeCell ref="AM3:AX3"/>
    <mergeCell ref="AY3:B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0"/>
    <col collapsed="false" customWidth="true" hidden="false" outlineLevel="0" max="7" min="3" style="1" width="14"/>
  </cols>
  <sheetData>
    <row r="1" customFormat="false" ht="21.75" hidden="false" customHeight="true" outlineLevel="0" collapsed="false">
      <c r="A1" s="47" t="s">
        <v>325</v>
      </c>
      <c r="B1" s="47"/>
      <c r="C1" s="47"/>
      <c r="D1" s="47"/>
      <c r="E1" s="47"/>
      <c r="F1" s="47"/>
      <c r="G1" s="47"/>
    </row>
    <row r="2" customFormat="false" ht="15" hidden="false" customHeight="true" outlineLevel="0" collapsed="false">
      <c r="A2" s="26" t="s">
        <v>326</v>
      </c>
      <c r="B2" s="26"/>
      <c r="C2" s="26"/>
      <c r="D2" s="26"/>
      <c r="E2" s="26"/>
      <c r="F2" s="26"/>
      <c r="G2" s="26"/>
    </row>
    <row r="4" customFormat="false" ht="27.75" hidden="false" customHeight="true" outlineLevel="0" collapsed="false">
      <c r="A4" s="28" t="s">
        <v>222</v>
      </c>
      <c r="B4" s="27" t="s">
        <v>285</v>
      </c>
      <c r="C4" s="123" t="str">
        <f aca="false">"Year 1"&amp;CHAR(10)&amp;"FY"&amp;RIGHT((IF(ISNUMBER(Assumptions!$B$6),Assumptions!$B$6,2026)+0+1),2)</f>
        <v>Year 1
FY27</v>
      </c>
      <c r="D4" s="124" t="str">
        <f aca="false">"Year 2"&amp;CHAR(10)&amp;"FY"&amp;RIGHT((IF(ISNUMBER(Assumptions!$B$6),Assumptions!$B$6,2026)+1+1),2)</f>
        <v>Year 2
FY28</v>
      </c>
      <c r="E4" s="123" t="str">
        <f aca="false">"Year 3"&amp;CHAR(10)&amp;"FY"&amp;RIGHT((IF(ISNUMBER(Assumptions!$B$6),Assumptions!$B$6,2026)+2+1),2)</f>
        <v>Year 3
FY29</v>
      </c>
      <c r="F4" s="124" t="str">
        <f aca="false">"Year 4"&amp;CHAR(10)&amp;"FY"&amp;RIGHT((IF(ISNUMBER(Assumptions!$B$6),Assumptions!$B$6,2026)+3+1),2)</f>
        <v>Year 4
FY30</v>
      </c>
      <c r="G4" s="123" t="str">
        <f aca="false">"Year 5"&amp;CHAR(10)&amp;"FY"&amp;RIGHT((IF(ISNUMBER(Assumptions!$B$6),Assumptions!$B$6,2026)+4+1),2)</f>
        <v>Year 5
FY31</v>
      </c>
    </row>
    <row r="5" customFormat="false" ht="15" hidden="false" customHeight="true" outlineLevel="0" collapsed="false">
      <c r="A5" s="125" t="s">
        <v>327</v>
      </c>
      <c r="B5" s="126"/>
      <c r="C5" s="126"/>
      <c r="D5" s="126"/>
      <c r="E5" s="126"/>
      <c r="F5" s="126"/>
      <c r="G5" s="126"/>
    </row>
    <row r="6" customFormat="false" ht="15" hidden="false" customHeight="true" outlineLevel="0" collapsed="false">
      <c r="A6" s="127" t="s">
        <v>328</v>
      </c>
      <c r="B6" s="83" t="s">
        <v>112</v>
      </c>
      <c r="C6" s="116" t="str">
        <f aca="false">IFERROR(AVERAGE('Production &amp; Sales'!C9:N9)/Assumptions!$B$5,"")</f>
        <v/>
      </c>
      <c r="D6" s="116" t="str">
        <f aca="false">IFERROR(AVERAGE('Production &amp; Sales'!O9:Z9)/Assumptions!$B$5,"")</f>
        <v/>
      </c>
      <c r="E6" s="116" t="str">
        <f aca="false">IFERROR(AVERAGE('Production &amp; Sales'!AA9:AL9)/Assumptions!$B$5,"")</f>
        <v/>
      </c>
      <c r="F6" s="116" t="str">
        <f aca="false">IFERROR(AVERAGE('Production &amp; Sales'!AM9:AX9)/Assumptions!$B$5,"")</f>
        <v/>
      </c>
      <c r="G6" s="116" t="str">
        <f aca="false">IFERROR(AVERAGE('Production &amp; Sales'!AY9:BJ9)/Assumptions!$B$5,"")</f>
        <v/>
      </c>
    </row>
    <row r="7" customFormat="false" ht="15" hidden="false" customHeight="true" outlineLevel="0" collapsed="false">
      <c r="A7" s="127" t="s">
        <v>329</v>
      </c>
      <c r="B7" s="83" t="str">
        <f aca="false">IFERROR(INDEX('Industry Labels'!$C$7:$Z$7,MATCH(Assumptions!$B$3,'Industry Labels'!$C$4:$Z$4,0)),"units")</f>
        <v>units</v>
      </c>
      <c r="C7" s="128" t="n">
        <f aca="false">IFERROR(SUM('Production &amp; Sales'!C9:N9),"")</f>
        <v>0</v>
      </c>
      <c r="D7" s="128" t="n">
        <f aca="false">IFERROR(SUM('Production &amp; Sales'!O9:Z9),"")</f>
        <v>0</v>
      </c>
      <c r="E7" s="128" t="n">
        <f aca="false">IFERROR(SUM('Production &amp; Sales'!AA9:AL9),"")</f>
        <v>0</v>
      </c>
      <c r="F7" s="128" t="n">
        <f aca="false">IFERROR(SUM('Production &amp; Sales'!AM9:AX9),"")</f>
        <v>0</v>
      </c>
      <c r="G7" s="128" t="n">
        <f aca="false">IFERROR(SUM('Production &amp; Sales'!AY9:BJ9),"")</f>
        <v>0</v>
      </c>
    </row>
    <row r="8" customFormat="false" ht="15" hidden="false" customHeight="true" outlineLevel="0" collapsed="false">
      <c r="A8" s="125" t="s">
        <v>330</v>
      </c>
      <c r="B8" s="126"/>
      <c r="C8" s="126"/>
      <c r="D8" s="126"/>
      <c r="E8" s="126"/>
      <c r="F8" s="126"/>
      <c r="G8" s="126"/>
    </row>
    <row r="9" customFormat="false" ht="15" hidden="false" customHeight="true" outlineLevel="0" collapsed="false">
      <c r="A9" s="129" t="s">
        <v>305</v>
      </c>
      <c r="B9" s="83" t="s">
        <v>289</v>
      </c>
      <c r="C9" s="130" t="n">
        <f aca="false">IFERROR(SUM('Profitability (Monthly)'!C8:N8),"")</f>
        <v>0</v>
      </c>
      <c r="D9" s="130" t="n">
        <f aca="false">IFERROR(SUM('Profitability (Monthly)'!O8:Z8),"")</f>
        <v>0</v>
      </c>
      <c r="E9" s="130" t="n">
        <f aca="false">IFERROR(SUM('Profitability (Monthly)'!AA8:AL8),"")</f>
        <v>0</v>
      </c>
      <c r="F9" s="130" t="n">
        <f aca="false">IFERROR(SUM('Profitability (Monthly)'!AM8:AX8),"")</f>
        <v>0</v>
      </c>
      <c r="G9" s="130" t="n">
        <f aca="false">IFERROR(SUM('Profitability (Monthly)'!AY8:BJ8),"")</f>
        <v>0</v>
      </c>
    </row>
    <row r="10" customFormat="false" ht="15" hidden="false" customHeight="true" outlineLevel="0" collapsed="false">
      <c r="A10" s="125" t="s">
        <v>331</v>
      </c>
      <c r="B10" s="126"/>
      <c r="C10" s="126"/>
      <c r="D10" s="126"/>
      <c r="E10" s="126"/>
      <c r="F10" s="126"/>
      <c r="G10" s="126"/>
    </row>
    <row r="11" customFormat="false" ht="15" hidden="false" customHeight="true" outlineLevel="0" collapsed="false">
      <c r="A11" s="127" t="str">
        <f aca="false">IFERROR(INDEX('Industry Labels'!$C$21:$Z$21,MATCH(Assumptions!$B$3,'Industry Labels'!$C$4:$Z$4,0)),"Direct cost consumed")</f>
        <v>Direct cost consumed</v>
      </c>
      <c r="B11" s="83" t="s">
        <v>289</v>
      </c>
      <c r="C11" s="100" t="n">
        <f aca="false">IFERROR(SUM('Profitability (Monthly)'!C10:N10),"")</f>
        <v>0</v>
      </c>
      <c r="D11" s="100" t="n">
        <f aca="false">IFERROR(SUM('Profitability (Monthly)'!O10:Z10),"")</f>
        <v>0</v>
      </c>
      <c r="E11" s="100" t="n">
        <f aca="false">IFERROR(SUM('Profitability (Monthly)'!AA10:AL10),"")</f>
        <v>0</v>
      </c>
      <c r="F11" s="100" t="n">
        <f aca="false">IFERROR(SUM('Profitability (Monthly)'!AM10:AX10),"")</f>
        <v>0</v>
      </c>
      <c r="G11" s="100" t="n">
        <f aca="false">IFERROR(SUM('Profitability (Monthly)'!AY10:BJ10),"")</f>
        <v>0</v>
      </c>
    </row>
    <row r="12" customFormat="false" ht="15" hidden="false" customHeight="true" outlineLevel="0" collapsed="false">
      <c r="A12" s="127" t="str">
        <f aca="false">IFERROR(INDEX('Industry Labels'!$C$22:$Z$22,MATCH(Assumptions!$B$3,'Industry Labels'!$C$4:$Z$4,0)),"Utilities &amp; energy")&amp;" (variable)"</f>
        <v>Utilities &amp; energy (variable)</v>
      </c>
      <c r="B12" s="83" t="s">
        <v>289</v>
      </c>
      <c r="C12" s="100" t="n">
        <f aca="false">IFERROR(SUM('Profitability (Monthly)'!C11:N11),"")</f>
        <v>0</v>
      </c>
      <c r="D12" s="100" t="n">
        <f aca="false">IFERROR(SUM('Profitability (Monthly)'!O11:Z11),"")</f>
        <v>0</v>
      </c>
      <c r="E12" s="100" t="n">
        <f aca="false">IFERROR(SUM('Profitability (Monthly)'!AA11:AL11),"")</f>
        <v>0</v>
      </c>
      <c r="F12" s="100" t="n">
        <f aca="false">IFERROR(SUM('Profitability (Monthly)'!AM11:AX11),"")</f>
        <v>0</v>
      </c>
      <c r="G12" s="100" t="n">
        <f aca="false">IFERROR(SUM('Profitability (Monthly)'!AY11:BJ11),"")</f>
        <v>0</v>
      </c>
    </row>
    <row r="13" customFormat="false" ht="15" hidden="false" customHeight="true" outlineLevel="0" collapsed="false">
      <c r="A13" s="127" t="str">
        <f aca="false">IFERROR(INDEX('Industry Labels'!$C$23:$Z$23,MATCH(Assumptions!$B$3,'Industry Labels'!$C$4:$Z$4,0)),"Consumables, supplies &amp; packing")</f>
        <v>Consumables, supplies &amp; packing</v>
      </c>
      <c r="B13" s="83" t="s">
        <v>289</v>
      </c>
      <c r="C13" s="100" t="n">
        <f aca="false">IFERROR(SUM('Profitability (Monthly)'!C12:N12),"")</f>
        <v>0</v>
      </c>
      <c r="D13" s="100" t="n">
        <f aca="false">IFERROR(SUM('Profitability (Monthly)'!O12:Z12),"")</f>
        <v>0</v>
      </c>
      <c r="E13" s="100" t="n">
        <f aca="false">IFERROR(SUM('Profitability (Monthly)'!AA12:AL12),"")</f>
        <v>0</v>
      </c>
      <c r="F13" s="100" t="n">
        <f aca="false">IFERROR(SUM('Profitability (Monthly)'!AM12:AX12),"")</f>
        <v>0</v>
      </c>
      <c r="G13" s="100" t="n">
        <f aca="false">IFERROR(SUM('Profitability (Monthly)'!AY12:BJ12),"")</f>
        <v>0</v>
      </c>
    </row>
    <row r="14" customFormat="false" ht="15" hidden="false" customHeight="true" outlineLevel="0" collapsed="false">
      <c r="A14" s="127" t="s">
        <v>306</v>
      </c>
      <c r="B14" s="83" t="s">
        <v>289</v>
      </c>
      <c r="C14" s="100" t="n">
        <f aca="false">IFERROR(SUM('Profitability (Monthly)'!C13:N13),"")</f>
        <v>0</v>
      </c>
      <c r="D14" s="100" t="n">
        <f aca="false">IFERROR(SUM('Profitability (Monthly)'!O13:Z13),"")</f>
        <v>0</v>
      </c>
      <c r="E14" s="100" t="n">
        <f aca="false">IFERROR(SUM('Profitability (Monthly)'!AA13:AL13),"")</f>
        <v>0</v>
      </c>
      <c r="F14" s="100" t="n">
        <f aca="false">IFERROR(SUM('Profitability (Monthly)'!AM13:AX13),"")</f>
        <v>0</v>
      </c>
      <c r="G14" s="100" t="n">
        <f aca="false">IFERROR(SUM('Profitability (Monthly)'!AY13:BJ13),"")</f>
        <v>0</v>
      </c>
    </row>
    <row r="15" customFormat="false" ht="15" hidden="false" customHeight="true" outlineLevel="0" collapsed="false">
      <c r="A15" s="129" t="s">
        <v>332</v>
      </c>
      <c r="B15" s="83" t="s">
        <v>289</v>
      </c>
      <c r="C15" s="131" t="n">
        <f aca="false">IFERROR(SUM('Profitability (Monthly)'!C14:N14),"")</f>
        <v>0</v>
      </c>
      <c r="D15" s="131" t="n">
        <f aca="false">IFERROR(SUM('Profitability (Monthly)'!O14:Z14),"")</f>
        <v>0</v>
      </c>
      <c r="E15" s="131" t="n">
        <f aca="false">IFERROR(SUM('Profitability (Monthly)'!AA14:AL14),"")</f>
        <v>0</v>
      </c>
      <c r="F15" s="131" t="n">
        <f aca="false">IFERROR(SUM('Profitability (Monthly)'!AM14:AX14),"")</f>
        <v>0</v>
      </c>
      <c r="G15" s="131" t="n">
        <f aca="false">IFERROR(SUM('Profitability (Monthly)'!AY14:BJ14),"")</f>
        <v>0</v>
      </c>
    </row>
    <row r="16" customFormat="false" ht="15" hidden="false" customHeight="true" outlineLevel="0" collapsed="false">
      <c r="A16" s="129" t="s">
        <v>333</v>
      </c>
      <c r="B16" s="83" t="s">
        <v>289</v>
      </c>
      <c r="C16" s="131" t="n">
        <f aca="false">IFERROR(SUM('Profitability (Monthly)'!C15:N15),"")</f>
        <v>0</v>
      </c>
      <c r="D16" s="131" t="n">
        <f aca="false">IFERROR(SUM('Profitability (Monthly)'!O15:Z15),"")</f>
        <v>0</v>
      </c>
      <c r="E16" s="131" t="n">
        <f aca="false">IFERROR(SUM('Profitability (Monthly)'!AA15:AL15),"")</f>
        <v>0</v>
      </c>
      <c r="F16" s="131" t="n">
        <f aca="false">IFERROR(SUM('Profitability (Monthly)'!AM15:AX15),"")</f>
        <v>0</v>
      </c>
      <c r="G16" s="131" t="n">
        <f aca="false">IFERROR(SUM('Profitability (Monthly)'!AY15:BJ15),"")</f>
        <v>0</v>
      </c>
    </row>
    <row r="17" customFormat="false" ht="15" hidden="false" customHeight="true" outlineLevel="0" collapsed="false">
      <c r="A17" s="127" t="s">
        <v>309</v>
      </c>
      <c r="B17" s="83" t="s">
        <v>112</v>
      </c>
      <c r="C17" s="116" t="n">
        <f aca="false">IFERROR(IF(C9=0,0,C16/C9),"")</f>
        <v>0</v>
      </c>
      <c r="D17" s="116" t="n">
        <f aca="false">IFERROR(IF(D9=0,0,D16/D9),"")</f>
        <v>0</v>
      </c>
      <c r="E17" s="116" t="n">
        <f aca="false">IFERROR(IF(E9=0,0,E16/E9),"")</f>
        <v>0</v>
      </c>
      <c r="F17" s="116" t="n">
        <f aca="false">IFERROR(IF(F9=0,0,F16/F9),"")</f>
        <v>0</v>
      </c>
      <c r="G17" s="116" t="n">
        <f aca="false">IFERROR(IF(G9=0,0,G16/G9),"")</f>
        <v>0</v>
      </c>
    </row>
    <row r="18" customFormat="false" ht="15" hidden="false" customHeight="true" outlineLevel="0" collapsed="false">
      <c r="A18" s="125" t="s">
        <v>334</v>
      </c>
      <c r="B18" s="126"/>
      <c r="C18" s="126"/>
      <c r="D18" s="126"/>
      <c r="E18" s="126"/>
      <c r="F18" s="126"/>
      <c r="G18" s="126"/>
    </row>
    <row r="19" customFormat="false" ht="15" hidden="false" customHeight="true" outlineLevel="0" collapsed="false">
      <c r="A19" s="127" t="s">
        <v>153</v>
      </c>
      <c r="B19" s="83" t="s">
        <v>289</v>
      </c>
      <c r="C19" s="100" t="n">
        <f aca="false">IFERROR(SUM('Profitability (Monthly)'!C18:N18),"")</f>
        <v>0</v>
      </c>
      <c r="D19" s="100" t="n">
        <f aca="false">IFERROR(SUM('Profitability (Monthly)'!O18:Z18),"")</f>
        <v>0</v>
      </c>
      <c r="E19" s="100" t="n">
        <f aca="false">IFERROR(SUM('Profitability (Monthly)'!AA18:AL18),"")</f>
        <v>0</v>
      </c>
      <c r="F19" s="100" t="n">
        <f aca="false">IFERROR(SUM('Profitability (Monthly)'!AM18:AX18),"")</f>
        <v>0</v>
      </c>
      <c r="G19" s="100" t="n">
        <f aca="false">IFERROR(SUM('Profitability (Monthly)'!AY18:BJ18),"")</f>
        <v>0</v>
      </c>
    </row>
    <row r="20" customFormat="false" ht="15" hidden="false" customHeight="true" outlineLevel="0" collapsed="false">
      <c r="A20" s="127" t="str">
        <f aca="false">IFERROR(INDEX('Industry Labels'!$C$24:$Z$24,MATCH(Assumptions!$B$3,'Industry Labels'!$C$4:$Z$4,0)),"Fixed utility / facility charges")</f>
        <v>Fixed utility / facility charges</v>
      </c>
      <c r="B20" s="83" t="s">
        <v>289</v>
      </c>
      <c r="C20" s="100" t="n">
        <f aca="false">IFERROR(SUM('Profitability (Monthly)'!C19:N19),"")</f>
        <v>0</v>
      </c>
      <c r="D20" s="100" t="n">
        <f aca="false">IFERROR(SUM('Profitability (Monthly)'!O19:Z19),"")</f>
        <v>0</v>
      </c>
      <c r="E20" s="100" t="n">
        <f aca="false">IFERROR(SUM('Profitability (Monthly)'!AA19:AL19),"")</f>
        <v>0</v>
      </c>
      <c r="F20" s="100" t="n">
        <f aca="false">IFERROR(SUM('Profitability (Monthly)'!AM19:AX19),"")</f>
        <v>0</v>
      </c>
      <c r="G20" s="100" t="n">
        <f aca="false">IFERROR(SUM('Profitability (Monthly)'!AY19:BJ19),"")</f>
        <v>0</v>
      </c>
    </row>
    <row r="21" customFormat="false" ht="15" hidden="false" customHeight="true" outlineLevel="0" collapsed="false">
      <c r="A21" s="127" t="s">
        <v>156</v>
      </c>
      <c r="B21" s="83" t="s">
        <v>289</v>
      </c>
      <c r="C21" s="100" t="n">
        <f aca="false">IFERROR(SUM('Profitability (Monthly)'!C20:N20),"")</f>
        <v>0</v>
      </c>
      <c r="D21" s="100" t="n">
        <f aca="false">IFERROR(SUM('Profitability (Monthly)'!O20:Z20),"")</f>
        <v>0</v>
      </c>
      <c r="E21" s="100" t="n">
        <f aca="false">IFERROR(SUM('Profitability (Monthly)'!AA20:AL20),"")</f>
        <v>0</v>
      </c>
      <c r="F21" s="100" t="n">
        <f aca="false">IFERROR(SUM('Profitability (Monthly)'!AM20:AX20),"")</f>
        <v>0</v>
      </c>
      <c r="G21" s="100" t="n">
        <f aca="false">IFERROR(SUM('Profitability (Monthly)'!AY20:BJ20),"")</f>
        <v>0</v>
      </c>
    </row>
    <row r="22" customFormat="false" ht="15" hidden="false" customHeight="true" outlineLevel="0" collapsed="false">
      <c r="A22" s="127" t="s">
        <v>159</v>
      </c>
      <c r="B22" s="83" t="s">
        <v>289</v>
      </c>
      <c r="C22" s="100" t="n">
        <f aca="false">IFERROR(SUM('Profitability (Monthly)'!C21:N21),"")</f>
        <v>0</v>
      </c>
      <c r="D22" s="100" t="n">
        <f aca="false">IFERROR(SUM('Profitability (Monthly)'!O21:Z21),"")</f>
        <v>0</v>
      </c>
      <c r="E22" s="100" t="n">
        <f aca="false">IFERROR(SUM('Profitability (Monthly)'!AA21:AL21),"")</f>
        <v>0</v>
      </c>
      <c r="F22" s="100" t="n">
        <f aca="false">IFERROR(SUM('Profitability (Monthly)'!AM21:AX21),"")</f>
        <v>0</v>
      </c>
      <c r="G22" s="100" t="n">
        <f aca="false">IFERROR(SUM('Profitability (Monthly)'!AY21:BJ21),"")</f>
        <v>0</v>
      </c>
    </row>
    <row r="23" customFormat="false" ht="15" hidden="false" customHeight="true" outlineLevel="0" collapsed="false">
      <c r="A23" s="127" t="s">
        <v>162</v>
      </c>
      <c r="B23" s="83" t="s">
        <v>289</v>
      </c>
      <c r="C23" s="100" t="n">
        <f aca="false">IFERROR(SUM('Profitability (Monthly)'!C22:N22),"")</f>
        <v>0</v>
      </c>
      <c r="D23" s="100" t="n">
        <f aca="false">IFERROR(SUM('Profitability (Monthly)'!O22:Z22),"")</f>
        <v>0</v>
      </c>
      <c r="E23" s="100" t="n">
        <f aca="false">IFERROR(SUM('Profitability (Monthly)'!AA22:AL22),"")</f>
        <v>0</v>
      </c>
      <c r="F23" s="100" t="n">
        <f aca="false">IFERROR(SUM('Profitability (Monthly)'!AM22:AX22),"")</f>
        <v>0</v>
      </c>
      <c r="G23" s="100" t="n">
        <f aca="false">IFERROR(SUM('Profitability (Monthly)'!AY22:BJ22),"")</f>
        <v>0</v>
      </c>
    </row>
    <row r="24" customFormat="false" ht="15" hidden="false" customHeight="true" outlineLevel="0" collapsed="false">
      <c r="A24" s="127" t="s">
        <v>164</v>
      </c>
      <c r="B24" s="83" t="s">
        <v>289</v>
      </c>
      <c r="C24" s="100" t="n">
        <f aca="false">IFERROR(SUM('Profitability (Monthly)'!C23:N23),"")</f>
        <v>0</v>
      </c>
      <c r="D24" s="100" t="n">
        <f aca="false">IFERROR(SUM('Profitability (Monthly)'!O23:Z23),"")</f>
        <v>0</v>
      </c>
      <c r="E24" s="100" t="n">
        <f aca="false">IFERROR(SUM('Profitability (Monthly)'!AA23:AL23),"")</f>
        <v>0</v>
      </c>
      <c r="F24" s="100" t="n">
        <f aca="false">IFERROR(SUM('Profitability (Monthly)'!AM23:AX23),"")</f>
        <v>0</v>
      </c>
      <c r="G24" s="100" t="n">
        <f aca="false">IFERROR(SUM('Profitability (Monthly)'!AY23:BJ23),"")</f>
        <v>0</v>
      </c>
    </row>
    <row r="25" customFormat="false" ht="15" hidden="false" customHeight="true" outlineLevel="0" collapsed="false">
      <c r="A25" s="129" t="s">
        <v>311</v>
      </c>
      <c r="B25" s="83" t="s">
        <v>289</v>
      </c>
      <c r="C25" s="131" t="n">
        <f aca="false">IFERROR(SUM('Profitability (Monthly)'!C24:N24),"")</f>
        <v>0</v>
      </c>
      <c r="D25" s="131" t="n">
        <f aca="false">IFERROR(SUM('Profitability (Monthly)'!O24:Z24),"")</f>
        <v>0</v>
      </c>
      <c r="E25" s="131" t="n">
        <f aca="false">IFERROR(SUM('Profitability (Monthly)'!AA24:AL24),"")</f>
        <v>0</v>
      </c>
      <c r="F25" s="131" t="n">
        <f aca="false">IFERROR(SUM('Profitability (Monthly)'!AM24:AX24),"")</f>
        <v>0</v>
      </c>
      <c r="G25" s="131" t="n">
        <f aca="false">IFERROR(SUM('Profitability (Monthly)'!AY24:BJ24),"")</f>
        <v>0</v>
      </c>
    </row>
    <row r="26" customFormat="false" ht="15" hidden="false" customHeight="true" outlineLevel="0" collapsed="false">
      <c r="A26" s="125" t="s">
        <v>335</v>
      </c>
      <c r="B26" s="126"/>
      <c r="C26" s="126"/>
      <c r="D26" s="126"/>
      <c r="E26" s="126"/>
      <c r="F26" s="126"/>
      <c r="G26" s="126"/>
    </row>
    <row r="27" customFormat="false" ht="15" hidden="false" customHeight="true" outlineLevel="0" collapsed="false">
      <c r="A27" s="129" t="s">
        <v>336</v>
      </c>
      <c r="B27" s="83" t="s">
        <v>289</v>
      </c>
      <c r="C27" s="131" t="n">
        <f aca="false">IFERROR(SUM('Profitability (Monthly)'!C26:N26),"")</f>
        <v>0</v>
      </c>
      <c r="D27" s="131" t="n">
        <f aca="false">IFERROR(SUM('Profitability (Monthly)'!O26:Z26),"")</f>
        <v>0</v>
      </c>
      <c r="E27" s="131" t="n">
        <f aca="false">IFERROR(SUM('Profitability (Monthly)'!AA26:AL26),"")</f>
        <v>0</v>
      </c>
      <c r="F27" s="131" t="n">
        <f aca="false">IFERROR(SUM('Profitability (Monthly)'!AM26:AX26),"")</f>
        <v>0</v>
      </c>
      <c r="G27" s="131" t="n">
        <f aca="false">IFERROR(SUM('Profitability (Monthly)'!AY26:BJ26),"")</f>
        <v>0</v>
      </c>
    </row>
    <row r="28" customFormat="false" ht="15" hidden="false" customHeight="true" outlineLevel="0" collapsed="false">
      <c r="A28" s="127" t="s">
        <v>314</v>
      </c>
      <c r="B28" s="83" t="s">
        <v>112</v>
      </c>
      <c r="C28" s="116" t="n">
        <f aca="false">IFERROR(IF(C9=0,0,C27/C9),"")</f>
        <v>0</v>
      </c>
      <c r="D28" s="116" t="n">
        <f aca="false">IFERROR(IF(D9=0,0,D27/D9),"")</f>
        <v>0</v>
      </c>
      <c r="E28" s="116" t="n">
        <f aca="false">IFERROR(IF(E9=0,0,E27/E9),"")</f>
        <v>0</v>
      </c>
      <c r="F28" s="116" t="n">
        <f aca="false">IFERROR(IF(F9=0,0,F27/F9),"")</f>
        <v>0</v>
      </c>
      <c r="G28" s="116" t="n">
        <f aca="false">IFERROR(IF(G9=0,0,G27/G9),"")</f>
        <v>0</v>
      </c>
    </row>
    <row r="29" customFormat="false" ht="15" hidden="false" customHeight="true" outlineLevel="0" collapsed="false">
      <c r="A29" s="127" t="s">
        <v>315</v>
      </c>
      <c r="B29" s="83" t="s">
        <v>289</v>
      </c>
      <c r="C29" s="100" t="n">
        <f aca="false">IFERROR(SUM('Profitability (Monthly)'!C28:N28),"")</f>
        <v>0</v>
      </c>
      <c r="D29" s="100" t="n">
        <f aca="false">IFERROR(SUM('Profitability (Monthly)'!O28:Z28),"")</f>
        <v>0</v>
      </c>
      <c r="E29" s="100" t="n">
        <f aca="false">IFERROR(SUM('Profitability (Monthly)'!AA28:AL28),"")</f>
        <v>0</v>
      </c>
      <c r="F29" s="100" t="n">
        <f aca="false">IFERROR(SUM('Profitability (Monthly)'!AM28:AX28),"")</f>
        <v>0</v>
      </c>
      <c r="G29" s="100" t="n">
        <f aca="false">IFERROR(SUM('Profitability (Monthly)'!AY28:BJ28),"")</f>
        <v>0</v>
      </c>
    </row>
    <row r="30" customFormat="false" ht="15" hidden="false" customHeight="true" outlineLevel="0" collapsed="false">
      <c r="A30" s="129" t="s">
        <v>316</v>
      </c>
      <c r="B30" s="83" t="s">
        <v>289</v>
      </c>
      <c r="C30" s="131" t="n">
        <f aca="false">IFERROR(SUM('Profitability (Monthly)'!C29:N29),"")</f>
        <v>0</v>
      </c>
      <c r="D30" s="131" t="n">
        <f aca="false">IFERROR(SUM('Profitability (Monthly)'!O29:Z29),"")</f>
        <v>0</v>
      </c>
      <c r="E30" s="131" t="n">
        <f aca="false">IFERROR(SUM('Profitability (Monthly)'!AA29:AL29),"")</f>
        <v>0</v>
      </c>
      <c r="F30" s="131" t="n">
        <f aca="false">IFERROR(SUM('Profitability (Monthly)'!AM29:AX29),"")</f>
        <v>0</v>
      </c>
      <c r="G30" s="131" t="n">
        <f aca="false">IFERROR(SUM('Profitability (Monthly)'!AY29:BJ29),"")</f>
        <v>0</v>
      </c>
    </row>
    <row r="31" customFormat="false" ht="15" hidden="false" customHeight="true" outlineLevel="0" collapsed="false">
      <c r="A31" s="127" t="s">
        <v>317</v>
      </c>
      <c r="B31" s="83" t="s">
        <v>289</v>
      </c>
      <c r="C31" s="100" t="n">
        <f aca="false">IFERROR(SUM('Profitability (Monthly)'!C30:N30),"")</f>
        <v>0</v>
      </c>
      <c r="D31" s="100" t="n">
        <f aca="false">IFERROR(SUM('Profitability (Monthly)'!O30:Z30),"")</f>
        <v>0</v>
      </c>
      <c r="E31" s="100" t="n">
        <f aca="false">IFERROR(SUM('Profitability (Monthly)'!AA30:AL30),"")</f>
        <v>0</v>
      </c>
      <c r="F31" s="100" t="n">
        <f aca="false">IFERROR(SUM('Profitability (Monthly)'!AM30:AX30),"")</f>
        <v>0</v>
      </c>
      <c r="G31" s="100" t="n">
        <f aca="false">IFERROR(SUM('Profitability (Monthly)'!AY30:BJ30),"")</f>
        <v>0</v>
      </c>
    </row>
    <row r="32" customFormat="false" ht="15" hidden="false" customHeight="true" outlineLevel="0" collapsed="false">
      <c r="A32" s="127" t="s">
        <v>318</v>
      </c>
      <c r="B32" s="83" t="s">
        <v>289</v>
      </c>
      <c r="C32" s="100" t="n">
        <f aca="false">IFERROR(SUM('Profitability (Monthly)'!C31:N31),"")</f>
        <v>0</v>
      </c>
      <c r="D32" s="100" t="n">
        <f aca="false">IFERROR(SUM('Profitability (Monthly)'!O31:Z31),"")</f>
        <v>0</v>
      </c>
      <c r="E32" s="100" t="n">
        <f aca="false">IFERROR(SUM('Profitability (Monthly)'!AA31:AL31),"")</f>
        <v>0</v>
      </c>
      <c r="F32" s="100" t="n">
        <f aca="false">IFERROR(SUM('Profitability (Monthly)'!AM31:AX31),"")</f>
        <v>0</v>
      </c>
      <c r="G32" s="100" t="n">
        <f aca="false">IFERROR(SUM('Profitability (Monthly)'!AY31:BJ31),"")</f>
        <v>0</v>
      </c>
    </row>
    <row r="33" customFormat="false" ht="15" hidden="false" customHeight="true" outlineLevel="0" collapsed="false">
      <c r="A33" s="129" t="s">
        <v>337</v>
      </c>
      <c r="B33" s="83" t="s">
        <v>289</v>
      </c>
      <c r="C33" s="117" t="n">
        <f aca="false">IFERROR(C31+C32,"")</f>
        <v>0</v>
      </c>
      <c r="D33" s="117" t="n">
        <f aca="false">IFERROR(D31+D32,"")</f>
        <v>0</v>
      </c>
      <c r="E33" s="117" t="n">
        <f aca="false">IFERROR(E31+E32,"")</f>
        <v>0</v>
      </c>
      <c r="F33" s="117" t="n">
        <f aca="false">IFERROR(F31+F32,"")</f>
        <v>0</v>
      </c>
      <c r="G33" s="117" t="n">
        <f aca="false">IFERROR(G31+G32,"")</f>
        <v>0</v>
      </c>
    </row>
    <row r="34" customFormat="false" ht="15" hidden="false" customHeight="true" outlineLevel="0" collapsed="false">
      <c r="A34" s="129" t="s">
        <v>320</v>
      </c>
      <c r="B34" s="83" t="s">
        <v>289</v>
      </c>
      <c r="C34" s="131" t="n">
        <f aca="false">IFERROR(SUM('Profitability (Monthly)'!C33:N33),"")</f>
        <v>0</v>
      </c>
      <c r="D34" s="131" t="n">
        <f aca="false">IFERROR(SUM('Profitability (Monthly)'!O33:Z33),"")</f>
        <v>0</v>
      </c>
      <c r="E34" s="131" t="n">
        <f aca="false">IFERROR(SUM('Profitability (Monthly)'!AA33:AL33),"")</f>
        <v>0</v>
      </c>
      <c r="F34" s="131" t="n">
        <f aca="false">IFERROR(SUM('Profitability (Monthly)'!AM33:AX33),"")</f>
        <v>0</v>
      </c>
      <c r="G34" s="131" t="n">
        <f aca="false">IFERROR(SUM('Profitability (Monthly)'!AY33:BJ33),"")</f>
        <v>0</v>
      </c>
    </row>
    <row r="35" customFormat="false" ht="15" hidden="false" customHeight="true" outlineLevel="0" collapsed="false">
      <c r="A35" s="127" t="s">
        <v>321</v>
      </c>
      <c r="B35" s="83" t="s">
        <v>289</v>
      </c>
      <c r="C35" s="100" t="n">
        <f aca="false">IFERROR(SUM('Profitability (Monthly)'!C34:N34),"")</f>
        <v>0</v>
      </c>
      <c r="D35" s="100" t="n">
        <f aca="false">IFERROR(SUM('Profitability (Monthly)'!O34:Z34),"")</f>
        <v>0</v>
      </c>
      <c r="E35" s="100" t="n">
        <f aca="false">IFERROR(SUM('Profitability (Monthly)'!AA34:AL34),"")</f>
        <v>0</v>
      </c>
      <c r="F35" s="100" t="n">
        <f aca="false">IFERROR(SUM('Profitability (Monthly)'!AM34:AX34),"")</f>
        <v>0</v>
      </c>
      <c r="G35" s="100" t="n">
        <f aca="false">IFERROR(SUM('Profitability (Monthly)'!AY34:BJ34),"")</f>
        <v>0</v>
      </c>
    </row>
    <row r="36" customFormat="false" ht="15" hidden="false" customHeight="true" outlineLevel="0" collapsed="false">
      <c r="A36" s="129" t="s">
        <v>322</v>
      </c>
      <c r="B36" s="83" t="s">
        <v>289</v>
      </c>
      <c r="C36" s="132" t="n">
        <f aca="false">IFERROR(SUM('Profitability (Monthly)'!C35:N35),"")</f>
        <v>0</v>
      </c>
      <c r="D36" s="132" t="n">
        <f aca="false">IFERROR(SUM('Profitability (Monthly)'!O35:Z35),"")</f>
        <v>0</v>
      </c>
      <c r="E36" s="132" t="n">
        <f aca="false">IFERROR(SUM('Profitability (Monthly)'!AA35:AL35),"")</f>
        <v>0</v>
      </c>
      <c r="F36" s="132" t="n">
        <f aca="false">IFERROR(SUM('Profitability (Monthly)'!AM35:AX35),"")</f>
        <v>0</v>
      </c>
      <c r="G36" s="132" t="n">
        <f aca="false">IFERROR(SUM('Profitability (Monthly)'!AY35:BJ35),"")</f>
        <v>0</v>
      </c>
    </row>
    <row r="37" customFormat="false" ht="15" hidden="false" customHeight="true" outlineLevel="0" collapsed="false">
      <c r="A37" s="127" t="s">
        <v>323</v>
      </c>
      <c r="B37" s="83" t="s">
        <v>112</v>
      </c>
      <c r="C37" s="116" t="n">
        <f aca="false">IFERROR(IF(C9=0,0,C36/C9),"")</f>
        <v>0</v>
      </c>
      <c r="D37" s="116" t="n">
        <f aca="false">IFERROR(IF(D9=0,0,D36/D9),"")</f>
        <v>0</v>
      </c>
      <c r="E37" s="116" t="n">
        <f aca="false">IFERROR(IF(E9=0,0,E36/E9),"")</f>
        <v>0</v>
      </c>
      <c r="F37" s="116" t="n">
        <f aca="false">IFERROR(IF(F9=0,0,F36/F9),"")</f>
        <v>0</v>
      </c>
      <c r="G37" s="116" t="n">
        <f aca="false">IFERROR(IF(G9=0,0,G36/G9),"")</f>
        <v>0</v>
      </c>
    </row>
    <row r="38" customFormat="false" ht="15" hidden="false" customHeight="true" outlineLevel="0" collapsed="false">
      <c r="A38" s="129" t="s">
        <v>338</v>
      </c>
      <c r="B38" s="83" t="s">
        <v>289</v>
      </c>
      <c r="C38" s="130" t="n">
        <f aca="false">IFERROR(C36+C29,"")</f>
        <v>0</v>
      </c>
      <c r="D38" s="130" t="n">
        <f aca="false">IFERROR(D36+D29,"")</f>
        <v>0</v>
      </c>
      <c r="E38" s="130" t="n">
        <f aca="false">IFERROR(E36+E29,"")</f>
        <v>0</v>
      </c>
      <c r="F38" s="130" t="n">
        <f aca="false">IFERROR(F36+F29,"")</f>
        <v>0</v>
      </c>
      <c r="G38" s="130" t="n">
        <f aca="false">IFERROR(G36+G29,"")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"/>
    <col collapsed="false" customWidth="true" hidden="false" outlineLevel="0" max="7" min="3" style="1" width="14"/>
  </cols>
  <sheetData>
    <row r="1" customFormat="false" ht="21.75" hidden="false" customHeight="true" outlineLevel="0" collapsed="false">
      <c r="A1" s="47" t="s">
        <v>339</v>
      </c>
      <c r="B1" s="47"/>
      <c r="C1" s="47"/>
      <c r="D1" s="47"/>
      <c r="E1" s="47"/>
      <c r="F1" s="47"/>
      <c r="G1" s="47"/>
    </row>
    <row r="2" customFormat="false" ht="15" hidden="false" customHeight="true" outlineLevel="0" collapsed="false">
      <c r="A2" s="26" t="s">
        <v>340</v>
      </c>
      <c r="B2" s="26"/>
      <c r="C2" s="26"/>
      <c r="D2" s="26"/>
      <c r="E2" s="26"/>
      <c r="F2" s="26"/>
      <c r="G2" s="26"/>
    </row>
    <row r="4" customFormat="false" ht="15" hidden="false" customHeight="true" outlineLevel="0" collapsed="false">
      <c r="A4" s="28" t="s">
        <v>222</v>
      </c>
      <c r="B4" s="27" t="s">
        <v>341</v>
      </c>
      <c r="C4" s="95" t="str">
        <f aca="false">"Yr1 FY"&amp;RIGHT((IF(ISNUMBER(Assumptions!$B$6),Assumptions!$B$6,2026)+0+1),2)</f>
        <v>Yr1 FY27</v>
      </c>
      <c r="D4" s="96" t="str">
        <f aca="false">"Yr2 FY"&amp;RIGHT((IF(ISNUMBER(Assumptions!$B$6),Assumptions!$B$6,2026)+1+1),2)</f>
        <v>Yr2 FY28</v>
      </c>
      <c r="E4" s="95" t="str">
        <f aca="false">"Yr3 FY"&amp;RIGHT((IF(ISNUMBER(Assumptions!$B$6),Assumptions!$B$6,2026)+2+1),2)</f>
        <v>Yr3 FY29</v>
      </c>
      <c r="F4" s="96" t="str">
        <f aca="false">"Yr4 FY"&amp;RIGHT((IF(ISNUMBER(Assumptions!$B$6),Assumptions!$B$6,2026)+3+1),2)</f>
        <v>Yr4 FY30</v>
      </c>
      <c r="G4" s="95" t="str">
        <f aca="false">"Yr5 FY"&amp;RIGHT((IF(ISNUMBER(Assumptions!$B$6),Assumptions!$B$6,2026)+4+1),2)</f>
        <v>Yr5 FY31</v>
      </c>
    </row>
    <row r="5" customFormat="false" ht="15" hidden="false" customHeight="true" outlineLevel="0" collapsed="false">
      <c r="A5" s="125" t="s">
        <v>342</v>
      </c>
      <c r="B5" s="126"/>
      <c r="C5" s="126"/>
      <c r="D5" s="126"/>
      <c r="E5" s="126"/>
      <c r="F5" s="126"/>
      <c r="G5" s="126"/>
    </row>
    <row r="6" customFormat="false" ht="15" hidden="false" customHeight="true" outlineLevel="0" collapsed="false">
      <c r="A6" s="129" t="s">
        <v>343</v>
      </c>
      <c r="B6" s="83" t="s">
        <v>289</v>
      </c>
      <c r="C6" s="119" t="n">
        <f aca="false">IFERROR(SUM('Production &amp; Sales'!C12:N12),"")</f>
        <v>0</v>
      </c>
      <c r="D6" s="119" t="n">
        <f aca="false">IFERROR(SUM('Production &amp; Sales'!O12:Z12),"")</f>
        <v>0</v>
      </c>
      <c r="E6" s="119" t="n">
        <f aca="false">IFERROR(SUM('Production &amp; Sales'!AA12:AL12),"")</f>
        <v>0</v>
      </c>
      <c r="F6" s="119" t="n">
        <f aca="false">IFERROR(SUM('Production &amp; Sales'!AM12:AX12),"")</f>
        <v>0</v>
      </c>
      <c r="G6" s="119" t="n">
        <f aca="false">IFERROR(SUM('Production &amp; Sales'!AY12:BJ12),"")</f>
        <v>0</v>
      </c>
    </row>
    <row r="7" customFormat="false" ht="15" hidden="false" customHeight="true" outlineLevel="0" collapsed="false">
      <c r="A7" s="127" t="s">
        <v>329</v>
      </c>
      <c r="B7" s="83" t="str">
        <f aca="false">IFERROR(INDEX('Industry Labels'!$C$7:$Z$7,MATCH(Assumptions!$B$3,'Industry Labels'!$C$4:$Z$4,0)),"units")</f>
        <v>units</v>
      </c>
      <c r="C7" s="100" t="n">
        <f aca="false">IFERROR(SUM('Production &amp; Sales'!C9:N9),"")</f>
        <v>0</v>
      </c>
      <c r="D7" s="100" t="n">
        <f aca="false">IFERROR(SUM('Production &amp; Sales'!O9:Z9),"")</f>
        <v>0</v>
      </c>
      <c r="E7" s="100" t="n">
        <f aca="false">IFERROR(SUM('Production &amp; Sales'!AA9:AL9),"")</f>
        <v>0</v>
      </c>
      <c r="F7" s="100" t="n">
        <f aca="false">IFERROR(SUM('Production &amp; Sales'!AM9:AX9),"")</f>
        <v>0</v>
      </c>
      <c r="G7" s="100" t="n">
        <f aca="false">IFERROR(SUM('Production &amp; Sales'!AY9:BJ9),"")</f>
        <v>0</v>
      </c>
    </row>
    <row r="8" customFormat="false" ht="15" hidden="false" customHeight="true" outlineLevel="0" collapsed="false">
      <c r="A8" s="127" t="str">
        <f aca="false">IFERROR(INDEX('Industry Labels'!$C$21:$Z$21,MATCH(Assumptions!$B$3,'Industry Labels'!$C$4:$Z$4,0)),"Direct cost consumed")</f>
        <v>Direct cost consumed</v>
      </c>
      <c r="B8" s="83" t="s">
        <v>289</v>
      </c>
      <c r="C8" s="115" t="n">
        <f aca="false">IFERROR(C7*Assumptions!$B$11*(1+Assumptions!$B$34)^(1-1)/100000,"")</f>
        <v>0</v>
      </c>
      <c r="D8" s="115" t="n">
        <f aca="false">IFERROR(D7*Assumptions!$B$11*(1+Assumptions!$B$34)^(2-1)/100000,"")</f>
        <v>0</v>
      </c>
      <c r="E8" s="115" t="n">
        <f aca="false">IFERROR(E7*Assumptions!$B$11*(1+Assumptions!$B$34)^(3-1)/100000,"")</f>
        <v>0</v>
      </c>
      <c r="F8" s="115" t="n">
        <f aca="false">IFERROR(F7*Assumptions!$B$11*(1+Assumptions!$B$34)^(4-1)/100000,"")</f>
        <v>0</v>
      </c>
      <c r="G8" s="115" t="n">
        <f aca="false">IFERROR(G7*Assumptions!$B$11*(1+Assumptions!$B$34)^(5-1)/100000,"")</f>
        <v>0</v>
      </c>
    </row>
    <row r="9" customFormat="false" ht="15" hidden="false" customHeight="true" outlineLevel="0" collapsed="false">
      <c r="A9" s="127" t="str">
        <f aca="false">IFERROR(INDEX('Industry Labels'!$C$22:$Z$22,MATCH(Assumptions!$B$3,'Industry Labels'!$C$4:$Z$4,0)),"Utilities &amp; energy")&amp;" (variable)"</f>
        <v>Utilities &amp; energy (variable)</v>
      </c>
      <c r="B9" s="83" t="s">
        <v>289</v>
      </c>
      <c r="C9" s="115" t="n">
        <f aca="false">IFERROR(C7*Assumptions!$B$39*(1+Assumptions!$B$35)^(1-1)/100000,"")</f>
        <v>0</v>
      </c>
      <c r="D9" s="115" t="n">
        <f aca="false">IFERROR(D7*Assumptions!$B$39*(1+Assumptions!$B$35)^(2-1)/100000,"")</f>
        <v>0</v>
      </c>
      <c r="E9" s="115" t="n">
        <f aca="false">IFERROR(E7*Assumptions!$B$39*(1+Assumptions!$B$35)^(3-1)/100000,"")</f>
        <v>0</v>
      </c>
      <c r="F9" s="115" t="n">
        <f aca="false">IFERROR(F7*Assumptions!$B$39*(1+Assumptions!$B$35)^(4-1)/100000,"")</f>
        <v>0</v>
      </c>
      <c r="G9" s="115" t="n">
        <f aca="false">IFERROR(G7*Assumptions!$B$39*(1+Assumptions!$B$35)^(5-1)/100000,"")</f>
        <v>0</v>
      </c>
    </row>
    <row r="10" customFormat="false" ht="15" hidden="false" customHeight="true" outlineLevel="0" collapsed="false">
      <c r="A10" s="127" t="str">
        <f aca="false">IFERROR(INDEX('Industry Labels'!$C$23:$Z$23,MATCH(Assumptions!$B$3,'Industry Labels'!$C$4:$Z$4,0)),"Consumables, supplies &amp; packing")</f>
        <v>Consumables, supplies &amp; packing</v>
      </c>
      <c r="B10" s="83" t="s">
        <v>289</v>
      </c>
      <c r="C10" s="115" t="n">
        <f aca="false">IFERROR(C7*(Assumptions!$B$40+Assumptions!$B$41)*(1+Assumptions!$B$37)^(1-1)/100000,"")</f>
        <v>0</v>
      </c>
      <c r="D10" s="115" t="n">
        <f aca="false">IFERROR(D7*(Assumptions!$B$40+Assumptions!$B$41)*(1+Assumptions!$B$37)^(2-1)/100000,"")</f>
        <v>0</v>
      </c>
      <c r="E10" s="115" t="n">
        <f aca="false">IFERROR(E7*(Assumptions!$B$40+Assumptions!$B$41)*(1+Assumptions!$B$37)^(3-1)/100000,"")</f>
        <v>0</v>
      </c>
      <c r="F10" s="115" t="n">
        <f aca="false">IFERROR(F7*(Assumptions!$B$40+Assumptions!$B$41)*(1+Assumptions!$B$37)^(4-1)/100000,"")</f>
        <v>0</v>
      </c>
      <c r="G10" s="115" t="n">
        <f aca="false">IFERROR(G7*(Assumptions!$B$40+Assumptions!$B$41)*(1+Assumptions!$B$37)^(5-1)/100000,"")</f>
        <v>0</v>
      </c>
    </row>
    <row r="11" customFormat="false" ht="15" hidden="false" customHeight="true" outlineLevel="0" collapsed="false">
      <c r="A11" s="127" t="s">
        <v>306</v>
      </c>
      <c r="B11" s="83" t="s">
        <v>289</v>
      </c>
      <c r="C11" s="115" t="n">
        <f aca="false">IFERROR(Assumptions!$B$42*12*(1+Assumptions!$B$36)^(1-1),"")</f>
        <v>0</v>
      </c>
      <c r="D11" s="115" t="n">
        <f aca="false">IFERROR(Assumptions!$B$42*12*(1+Assumptions!$B$36)^(2-1),"")</f>
        <v>0</v>
      </c>
      <c r="E11" s="115" t="n">
        <f aca="false">IFERROR(Assumptions!$B$42*12*(1+Assumptions!$B$36)^(3-1),"")</f>
        <v>0</v>
      </c>
      <c r="F11" s="115" t="n">
        <f aca="false">IFERROR(Assumptions!$B$42*12*(1+Assumptions!$B$36)^(4-1),"")</f>
        <v>0</v>
      </c>
      <c r="G11" s="115" t="n">
        <f aca="false">IFERROR(Assumptions!$B$42*12*(1+Assumptions!$B$36)^(5-1),"")</f>
        <v>0</v>
      </c>
    </row>
    <row r="12" customFormat="false" ht="15" hidden="false" customHeight="true" outlineLevel="0" collapsed="false">
      <c r="A12" s="127" t="s">
        <v>344</v>
      </c>
      <c r="B12" s="83" t="s">
        <v>289</v>
      </c>
      <c r="C12" s="115" t="n">
        <f aca="false">IFERROR((('Project Cost'!$C$7+'Project Cost'!$C$11)*Assumptions!$B$46+Assumptions!$B$45*12+('Project Cost'!$C$14-'Project Cost'!$C$5-'Project Cost'!$C$13)*Assumptions!$B$47)*(1+Assumptions!$B$37)^(1-1),"")</f>
        <v>0</v>
      </c>
      <c r="D12" s="115" t="n">
        <f aca="false">IFERROR((('Project Cost'!$C$7+'Project Cost'!$C$11)*Assumptions!$B$46+Assumptions!$B$45*12+('Project Cost'!$C$14-'Project Cost'!$C$5-'Project Cost'!$C$13)*Assumptions!$B$47)*(1+Assumptions!$B$37)^(2-1),"")</f>
        <v>0</v>
      </c>
      <c r="E12" s="115" t="n">
        <f aca="false">IFERROR((('Project Cost'!$C$7+'Project Cost'!$C$11)*Assumptions!$B$46+Assumptions!$B$45*12+('Project Cost'!$C$14-'Project Cost'!$C$5-'Project Cost'!$C$13)*Assumptions!$B$47)*(1+Assumptions!$B$37)^(3-1),"")</f>
        <v>0</v>
      </c>
      <c r="F12" s="115" t="n">
        <f aca="false">IFERROR((('Project Cost'!$C$7+'Project Cost'!$C$11)*Assumptions!$B$46+Assumptions!$B$45*12+('Project Cost'!$C$14-'Project Cost'!$C$5-'Project Cost'!$C$13)*Assumptions!$B$47)*(1+Assumptions!$B$37)^(4-1),"")</f>
        <v>0</v>
      </c>
      <c r="G12" s="115" t="n">
        <f aca="false">IFERROR((('Project Cost'!$C$7+'Project Cost'!$C$11)*Assumptions!$B$46+Assumptions!$B$45*12+('Project Cost'!$C$14-'Project Cost'!$C$5-'Project Cost'!$C$13)*Assumptions!$B$47)*(1+Assumptions!$B$37)^(5-1),"")</f>
        <v>0</v>
      </c>
    </row>
    <row r="13" customFormat="false" ht="15" hidden="false" customHeight="true" outlineLevel="0" collapsed="false">
      <c r="A13" s="129" t="str">
        <f aca="false">IFERROR(INDEX('Industry Labels'!$C$25:$Z$25,MATCH(Assumptions!$B$3,'Industry Labels'!$C$4:$Z$4,0)),"COST OF OPERATIONS")</f>
        <v>COST OF OPERATIONS</v>
      </c>
      <c r="B13" s="83" t="s">
        <v>289</v>
      </c>
      <c r="C13" s="122" t="n">
        <f aca="false">IFERROR(SUM(C8:C12),"")</f>
        <v>0</v>
      </c>
      <c r="D13" s="122" t="n">
        <f aca="false">IFERROR(SUM(D8:D12),"")</f>
        <v>0</v>
      </c>
      <c r="E13" s="122" t="n">
        <f aca="false">IFERROR(SUM(E8:E12),"")</f>
        <v>0</v>
      </c>
      <c r="F13" s="122" t="n">
        <f aca="false">IFERROR(SUM(F8:F12),"")</f>
        <v>0</v>
      </c>
      <c r="G13" s="122" t="n">
        <f aca="false">IFERROR(SUM(G8:G12),"")</f>
        <v>0</v>
      </c>
    </row>
    <row r="14" customFormat="false" ht="15" hidden="false" customHeight="true" outlineLevel="0" collapsed="false">
      <c r="A14" s="125" t="s">
        <v>345</v>
      </c>
      <c r="B14" s="126"/>
      <c r="C14" s="126"/>
      <c r="D14" s="126"/>
      <c r="E14" s="126"/>
      <c r="F14" s="126"/>
      <c r="G14" s="126"/>
    </row>
    <row r="15" customFormat="false" ht="15" hidden="false" customHeight="true" outlineLevel="0" collapsed="false">
      <c r="A15" s="127" t="str">
        <f aca="false">IFERROR(INDEX('Industry Labels'!$C$17:$Z$17,MATCH(Assumptions!$B$3,'Industry Labels'!$C$4:$Z$4,0)),"Raw-material / stock inventory")</f>
        <v>Raw-material / stock inventory</v>
      </c>
      <c r="B15" s="83" t="s">
        <v>289</v>
      </c>
      <c r="C15" s="115" t="n">
        <f aca="false">IFERROR(C8*Assumptions!$B$58/360,"")</f>
        <v>0</v>
      </c>
      <c r="D15" s="115" t="n">
        <f aca="false">IFERROR(D8*Assumptions!$B$58/360,"")</f>
        <v>0</v>
      </c>
      <c r="E15" s="115" t="n">
        <f aca="false">IFERROR(E8*Assumptions!$B$58/360,"")</f>
        <v>0</v>
      </c>
      <c r="F15" s="115" t="n">
        <f aca="false">IFERROR(F8*Assumptions!$B$58/360,"")</f>
        <v>0</v>
      </c>
      <c r="G15" s="115" t="n">
        <f aca="false">IFERROR(G8*Assumptions!$B$58/360,"")</f>
        <v>0</v>
      </c>
    </row>
    <row r="16" customFormat="false" ht="15" hidden="false" customHeight="true" outlineLevel="0" collapsed="false">
      <c r="A16" s="127" t="str">
        <f aca="false">IFERROR(INDEX('Industry Labels'!$C$18:$Z$18,MATCH(Assumptions!$B$3,'Industry Labels'!$C$4:$Z$4,0)),"Finished goods / stock-in-trade")</f>
        <v>Finished goods / stock-in-trade</v>
      </c>
      <c r="B16" s="83" t="s">
        <v>289</v>
      </c>
      <c r="C16" s="115" t="n">
        <f aca="false">IFERROR(C13*Assumptions!$B$59/360,"")</f>
        <v>0</v>
      </c>
      <c r="D16" s="115" t="n">
        <f aca="false">IFERROR(D13*Assumptions!$B$59/360,"")</f>
        <v>0</v>
      </c>
      <c r="E16" s="115" t="n">
        <f aca="false">IFERROR(E13*Assumptions!$B$59/360,"")</f>
        <v>0</v>
      </c>
      <c r="F16" s="115" t="n">
        <f aca="false">IFERROR(F13*Assumptions!$B$59/360,"")</f>
        <v>0</v>
      </c>
      <c r="G16" s="115" t="n">
        <f aca="false">IFERROR(G13*Assumptions!$B$59/360,"")</f>
        <v>0</v>
      </c>
    </row>
    <row r="17" customFormat="false" ht="15" hidden="false" customHeight="true" outlineLevel="0" collapsed="false">
      <c r="A17" s="127" t="s">
        <v>187</v>
      </c>
      <c r="B17" s="83" t="s">
        <v>289</v>
      </c>
      <c r="C17" s="115" t="n">
        <f aca="false">IFERROR(C6*Assumptions!$B$60/360,"")</f>
        <v>0</v>
      </c>
      <c r="D17" s="115" t="n">
        <f aca="false">IFERROR(D6*Assumptions!$B$60/360,"")</f>
        <v>0</v>
      </c>
      <c r="E17" s="115" t="n">
        <f aca="false">IFERROR(E6*Assumptions!$B$60/360,"")</f>
        <v>0</v>
      </c>
      <c r="F17" s="115" t="n">
        <f aca="false">IFERROR(F6*Assumptions!$B$60/360,"")</f>
        <v>0</v>
      </c>
      <c r="G17" s="115" t="n">
        <f aca="false">IFERROR(G6*Assumptions!$B$60/360,"")</f>
        <v>0</v>
      </c>
    </row>
    <row r="18" customFormat="false" ht="15" hidden="false" customHeight="true" outlineLevel="0" collapsed="false">
      <c r="A18" s="129" t="s">
        <v>346</v>
      </c>
      <c r="B18" s="83" t="s">
        <v>289</v>
      </c>
      <c r="C18" s="122" t="n">
        <f aca="false">IFERROR(C15+C16+C17,"")</f>
        <v>0</v>
      </c>
      <c r="D18" s="122" t="n">
        <f aca="false">IFERROR(D15+D16+D17,"")</f>
        <v>0</v>
      </c>
      <c r="E18" s="122" t="n">
        <f aca="false">IFERROR(E15+E16+E17,"")</f>
        <v>0</v>
      </c>
      <c r="F18" s="122" t="n">
        <f aca="false">IFERROR(F15+F16+F17,"")</f>
        <v>0</v>
      </c>
      <c r="G18" s="122" t="n">
        <f aca="false">IFERROR(G15+G16+G17,"")</f>
        <v>0</v>
      </c>
    </row>
    <row r="19" customFormat="false" ht="15" hidden="false" customHeight="true" outlineLevel="0" collapsed="false">
      <c r="A19" s="125" t="s">
        <v>347</v>
      </c>
      <c r="B19" s="126"/>
      <c r="C19" s="126"/>
      <c r="D19" s="126"/>
      <c r="E19" s="126"/>
      <c r="F19" s="126"/>
      <c r="G19" s="126"/>
    </row>
    <row r="20" customFormat="false" ht="15" hidden="false" customHeight="true" outlineLevel="0" collapsed="false">
      <c r="A20" s="127" t="str">
        <f aca="false">IFERROR(INDEX('Industry Labels'!$C$19:$Z$19,MATCH(Assumptions!$B$3,'Industry Labels'!$C$4:$Z$4,0)),"Sundry creditors (suppliers)")</f>
        <v>Sundry creditors (suppliers)</v>
      </c>
      <c r="B20" s="83" t="s">
        <v>289</v>
      </c>
      <c r="C20" s="115" t="n">
        <f aca="false">IFERROR(C8*Assumptions!$B$61/360,"")</f>
        <v>0</v>
      </c>
      <c r="D20" s="115" t="n">
        <f aca="false">IFERROR(D8*Assumptions!$B$61/360,"")</f>
        <v>0</v>
      </c>
      <c r="E20" s="115" t="n">
        <f aca="false">IFERROR(E8*Assumptions!$B$61/360,"")</f>
        <v>0</v>
      </c>
      <c r="F20" s="115" t="n">
        <f aca="false">IFERROR(F8*Assumptions!$B$61/360,"")</f>
        <v>0</v>
      </c>
      <c r="G20" s="115" t="n">
        <f aca="false">IFERROR(G8*Assumptions!$B$61/360,"")</f>
        <v>0</v>
      </c>
    </row>
    <row r="21" customFormat="false" ht="15" hidden="false" customHeight="true" outlineLevel="0" collapsed="false">
      <c r="A21" s="125" t="s">
        <v>348</v>
      </c>
      <c r="B21" s="126"/>
      <c r="C21" s="126"/>
      <c r="D21" s="126"/>
      <c r="E21" s="126"/>
      <c r="F21" s="126"/>
      <c r="G21" s="126"/>
    </row>
    <row r="22" customFormat="false" ht="15" hidden="false" customHeight="true" outlineLevel="0" collapsed="false">
      <c r="A22" s="129" t="s">
        <v>349</v>
      </c>
      <c r="B22" s="83" t="s">
        <v>289</v>
      </c>
      <c r="C22" s="113" t="n">
        <f aca="false">IFERROR(C18-C20,"")</f>
        <v>0</v>
      </c>
      <c r="D22" s="113" t="n">
        <f aca="false">IFERROR(D18-D20,"")</f>
        <v>0</v>
      </c>
      <c r="E22" s="113" t="n">
        <f aca="false">IFERROR(E18-E20,"")</f>
        <v>0</v>
      </c>
      <c r="F22" s="113" t="n">
        <f aca="false">IFERROR(F18-F20,"")</f>
        <v>0</v>
      </c>
      <c r="G22" s="113" t="n">
        <f aca="false">IFERROR(G18-G20,"")</f>
        <v>0</v>
      </c>
    </row>
    <row r="23" customFormat="false" ht="15" hidden="false" customHeight="true" outlineLevel="0" collapsed="false">
      <c r="A23" s="127" t="s">
        <v>350</v>
      </c>
      <c r="B23" s="83" t="s">
        <v>289</v>
      </c>
      <c r="C23" s="115" t="n">
        <f aca="false">IFERROR(C18*Assumptions!$B$62,"")</f>
        <v>0</v>
      </c>
      <c r="D23" s="115" t="n">
        <f aca="false">IFERROR(D18*Assumptions!$B$62,"")</f>
        <v>0</v>
      </c>
      <c r="E23" s="115" t="n">
        <f aca="false">IFERROR(E18*Assumptions!$B$62,"")</f>
        <v>0</v>
      </c>
      <c r="F23" s="115" t="n">
        <f aca="false">IFERROR(F18*Assumptions!$B$62,"")</f>
        <v>0</v>
      </c>
      <c r="G23" s="115" t="n">
        <f aca="false">IFERROR(G18*Assumptions!$B$62,"")</f>
        <v>0</v>
      </c>
    </row>
    <row r="24" customFormat="false" ht="15" hidden="false" customHeight="true" outlineLevel="0" collapsed="false">
      <c r="A24" s="129" t="s">
        <v>351</v>
      </c>
      <c r="B24" s="83" t="s">
        <v>289</v>
      </c>
      <c r="C24" s="133" t="n">
        <f aca="false">IFERROR(C22-C23,"")</f>
        <v>0</v>
      </c>
      <c r="D24" s="133" t="n">
        <f aca="false">IFERROR(D22-D23,"")</f>
        <v>0</v>
      </c>
      <c r="E24" s="133" t="n">
        <f aca="false">IFERROR(E22-E23,"")</f>
        <v>0</v>
      </c>
      <c r="F24" s="133" t="n">
        <f aca="false">IFERROR(F22-F23,"")</f>
        <v>0</v>
      </c>
      <c r="G24" s="133" t="n">
        <f aca="false">IFERROR(G22-G23,"")</f>
        <v>0</v>
      </c>
    </row>
    <row r="25" customFormat="false" ht="15" hidden="false" customHeight="true" outlineLevel="0" collapsed="false">
      <c r="A25" s="127" t="s">
        <v>352</v>
      </c>
      <c r="B25" s="83" t="s">
        <v>289</v>
      </c>
      <c r="C25" s="115" t="n">
        <f aca="false">IFERROR(C18-C20-C24,"")</f>
        <v>0</v>
      </c>
      <c r="D25" s="115" t="n">
        <f aca="false">IFERROR(D18-D20-D24,"")</f>
        <v>0</v>
      </c>
      <c r="E25" s="115" t="n">
        <f aca="false">IFERROR(E18-E20-E24,"")</f>
        <v>0</v>
      </c>
      <c r="F25" s="115" t="n">
        <f aca="false">IFERROR(F18-F20-F24,"")</f>
        <v>0</v>
      </c>
      <c r="G25" s="115" t="n">
        <f aca="false">IFERROR(G18-G20-G24,"")</f>
        <v>0</v>
      </c>
    </row>
    <row r="26" customFormat="false" ht="15" hidden="false" customHeight="true" outlineLevel="0" collapsed="false">
      <c r="A26" s="125" t="s">
        <v>353</v>
      </c>
      <c r="B26" s="126"/>
      <c r="C26" s="126"/>
      <c r="D26" s="126"/>
      <c r="E26" s="126"/>
      <c r="F26" s="126"/>
      <c r="G26" s="126"/>
    </row>
    <row r="27" customFormat="false" ht="15" hidden="false" customHeight="true" outlineLevel="0" collapsed="false">
      <c r="A27" s="129" t="s">
        <v>354</v>
      </c>
      <c r="B27" s="83" t="s">
        <v>289</v>
      </c>
      <c r="C27" s="134" t="n">
        <f aca="false">IFERROR(C24*Assumptions!$B$56,"")</f>
        <v>0</v>
      </c>
      <c r="D27" s="134" t="n">
        <f aca="false">IFERROR(D24*Assumptions!$B$56,"")</f>
        <v>0</v>
      </c>
      <c r="E27" s="134" t="n">
        <f aca="false">IFERROR(E24*Assumptions!$B$56,"")</f>
        <v>0</v>
      </c>
      <c r="F27" s="134" t="n">
        <f aca="false">IFERROR(F24*Assumptions!$B$56,"")</f>
        <v>0</v>
      </c>
      <c r="G27" s="134" t="n">
        <f aca="false">IFERROR(G24*Assumptions!$B$56,"")</f>
        <v>0</v>
      </c>
    </row>
    <row r="28" customFormat="false" ht="15" hidden="false" customHeight="true" outlineLevel="0" collapsed="false">
      <c r="A28" s="135" t="s">
        <v>355</v>
      </c>
      <c r="B28" s="136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4"/>
    <col collapsed="false" customWidth="true" hidden="false" outlineLevel="0" max="8" min="3" style="1" width="13"/>
  </cols>
  <sheetData>
    <row r="1" customFormat="false" ht="21.75" hidden="false" customHeight="true" outlineLevel="0" collapsed="false">
      <c r="A1" s="47" t="s">
        <v>356</v>
      </c>
      <c r="B1" s="47"/>
      <c r="C1" s="47"/>
      <c r="D1" s="47"/>
      <c r="E1" s="47"/>
      <c r="F1" s="47"/>
      <c r="G1" s="47"/>
      <c r="H1" s="47"/>
    </row>
    <row r="2" customFormat="false" ht="15" hidden="false" customHeight="true" outlineLevel="0" collapsed="false">
      <c r="A2" s="26" t="s">
        <v>357</v>
      </c>
      <c r="B2" s="26"/>
      <c r="C2" s="26"/>
      <c r="D2" s="26"/>
      <c r="E2" s="26"/>
      <c r="F2" s="26"/>
      <c r="G2" s="26"/>
      <c r="H2" s="26"/>
    </row>
    <row r="4" customFormat="false" ht="15" hidden="false" customHeight="true" outlineLevel="0" collapsed="false">
      <c r="A4" s="28" t="s">
        <v>222</v>
      </c>
      <c r="B4" s="121"/>
      <c r="C4" s="95" t="s">
        <v>358</v>
      </c>
      <c r="D4" s="96" t="s">
        <v>265</v>
      </c>
      <c r="E4" s="95" t="s">
        <v>266</v>
      </c>
      <c r="F4" s="96" t="s">
        <v>267</v>
      </c>
      <c r="G4" s="95" t="s">
        <v>268</v>
      </c>
      <c r="H4" s="96" t="s">
        <v>269</v>
      </c>
    </row>
    <row r="5" customFormat="false" ht="15" hidden="false" customHeight="true" outlineLevel="0" collapsed="false">
      <c r="A5" s="125" t="s">
        <v>359</v>
      </c>
      <c r="B5" s="126"/>
      <c r="C5" s="126"/>
      <c r="D5" s="126"/>
      <c r="E5" s="126"/>
      <c r="F5" s="126"/>
      <c r="G5" s="126"/>
      <c r="H5" s="126"/>
    </row>
    <row r="6" customFormat="false" ht="15" hidden="false" customHeight="true" outlineLevel="0" collapsed="false">
      <c r="A6" s="127" t="s">
        <v>360</v>
      </c>
      <c r="B6" s="44"/>
      <c r="C6" s="100" t="n">
        <f aca="false">IFERROR(Assumptions!$B$52,"")</f>
        <v>0</v>
      </c>
      <c r="D6" s="100" t="n">
        <f aca="false">IFERROR(Assumptions!$B$52,"")</f>
        <v>0</v>
      </c>
      <c r="E6" s="100" t="n">
        <f aca="false">IFERROR(Assumptions!$B$52,"")</f>
        <v>0</v>
      </c>
      <c r="F6" s="100" t="n">
        <f aca="false">IFERROR(Assumptions!$B$52,"")</f>
        <v>0</v>
      </c>
      <c r="G6" s="100" t="n">
        <f aca="false">IFERROR(Assumptions!$B$52,"")</f>
        <v>0</v>
      </c>
      <c r="H6" s="100" t="n">
        <f aca="false">IFERROR(Assumptions!$B$52,"")</f>
        <v>0</v>
      </c>
    </row>
    <row r="7" customFormat="false" ht="15" hidden="false" customHeight="true" outlineLevel="0" collapsed="false">
      <c r="A7" s="127" t="s">
        <v>361</v>
      </c>
      <c r="B7" s="44"/>
      <c r="C7" s="100" t="n">
        <f aca="false">IFERROR(0,"")</f>
        <v>0</v>
      </c>
      <c r="D7" s="100" t="n">
        <f aca="false">IFERROR(C7+'Profitability (Annual)'!$C$36,"")</f>
        <v>0</v>
      </c>
      <c r="E7" s="100" t="n">
        <f aca="false">IFERROR(D7+'Profitability (Annual)'!$D$36,"")</f>
        <v>0</v>
      </c>
      <c r="F7" s="100" t="n">
        <f aca="false">IFERROR(E7+'Profitability (Annual)'!$E$36,"")</f>
        <v>0</v>
      </c>
      <c r="G7" s="100" t="n">
        <f aca="false">IFERROR(F7+'Profitability (Annual)'!$F$36,"")</f>
        <v>0</v>
      </c>
      <c r="H7" s="100" t="n">
        <f aca="false">IFERROR(G7+'Profitability (Annual)'!$G$36,"")</f>
        <v>0</v>
      </c>
    </row>
    <row r="8" customFormat="false" ht="15" hidden="false" customHeight="true" outlineLevel="0" collapsed="false">
      <c r="A8" s="129" t="s">
        <v>362</v>
      </c>
      <c r="B8" s="44"/>
      <c r="C8" s="131" t="n">
        <f aca="false">IFERROR(C6+C7,"")</f>
        <v>0</v>
      </c>
      <c r="D8" s="131" t="n">
        <f aca="false">IFERROR(D6+D7,"")</f>
        <v>0</v>
      </c>
      <c r="E8" s="131" t="n">
        <f aca="false">IFERROR(E6+E7,"")</f>
        <v>0</v>
      </c>
      <c r="F8" s="131" t="n">
        <f aca="false">IFERROR(F6+F7,"")</f>
        <v>0</v>
      </c>
      <c r="G8" s="131" t="n">
        <f aca="false">IFERROR(G6+G7,"")</f>
        <v>0</v>
      </c>
      <c r="H8" s="131" t="n">
        <f aca="false">IFERROR(H6+H7,"")</f>
        <v>0</v>
      </c>
    </row>
    <row r="9" customFormat="false" ht="15" hidden="false" customHeight="true" outlineLevel="0" collapsed="false">
      <c r="A9" s="127" t="s">
        <v>363</v>
      </c>
      <c r="B9" s="44"/>
      <c r="C9" s="100" t="n">
        <f aca="false">IFERROR(Assumptions!$B$51,"")</f>
        <v>0</v>
      </c>
      <c r="D9" s="100" t="n">
        <f aca="false">IFERROR('Term Loan'!N11,"")</f>
        <v>0</v>
      </c>
      <c r="E9" s="100" t="n">
        <f aca="false">IFERROR('Term Loan'!Z11,"")</f>
        <v>0</v>
      </c>
      <c r="F9" s="100" t="n">
        <f aca="false">IFERROR('Term Loan'!AL11,"")</f>
        <v>0</v>
      </c>
      <c r="G9" s="100" t="n">
        <f aca="false">IFERROR('Term Loan'!AX11,"")</f>
        <v>0</v>
      </c>
      <c r="H9" s="100" t="n">
        <f aca="false">IFERROR('Term Loan'!BJ11,"")</f>
        <v>0</v>
      </c>
    </row>
    <row r="10" customFormat="false" ht="15" hidden="false" customHeight="true" outlineLevel="0" collapsed="false">
      <c r="A10" s="127" t="s">
        <v>364</v>
      </c>
      <c r="B10" s="44"/>
      <c r="C10" s="100" t="n">
        <f aca="false">IFERROR(0,"")</f>
        <v>0</v>
      </c>
      <c r="D10" s="100" t="n">
        <f aca="false">IFERROR('Working Capital'!$C$24,"")</f>
        <v>0</v>
      </c>
      <c r="E10" s="100" t="n">
        <f aca="false">IFERROR('Working Capital'!$D$24,"")</f>
        <v>0</v>
      </c>
      <c r="F10" s="100" t="n">
        <f aca="false">IFERROR('Working Capital'!$E$24,"")</f>
        <v>0</v>
      </c>
      <c r="G10" s="100" t="n">
        <f aca="false">IFERROR('Working Capital'!$F$24,"")</f>
        <v>0</v>
      </c>
      <c r="H10" s="100" t="n">
        <f aca="false">IFERROR('Working Capital'!$G$24,"")</f>
        <v>0</v>
      </c>
    </row>
    <row r="11" customFormat="false" ht="15" hidden="false" customHeight="true" outlineLevel="0" collapsed="false">
      <c r="A11" s="127" t="s">
        <v>365</v>
      </c>
      <c r="B11" s="44"/>
      <c r="C11" s="100" t="n">
        <f aca="false">IFERROR(0,"")</f>
        <v>0</v>
      </c>
      <c r="D11" s="100" t="n">
        <f aca="false">IFERROR('Working Capital'!$C$20,"")</f>
        <v>0</v>
      </c>
      <c r="E11" s="100" t="n">
        <f aca="false">IFERROR('Working Capital'!$D$20,"")</f>
        <v>0</v>
      </c>
      <c r="F11" s="100" t="n">
        <f aca="false">IFERROR('Working Capital'!$E$20,"")</f>
        <v>0</v>
      </c>
      <c r="G11" s="100" t="n">
        <f aca="false">IFERROR('Working Capital'!$F$20,"")</f>
        <v>0</v>
      </c>
      <c r="H11" s="100" t="n">
        <f aca="false">IFERROR('Working Capital'!$G$20,"")</f>
        <v>0</v>
      </c>
    </row>
    <row r="12" customFormat="false" ht="15" hidden="false" customHeight="true" outlineLevel="0" collapsed="false">
      <c r="A12" s="129" t="s">
        <v>366</v>
      </c>
      <c r="B12" s="44"/>
      <c r="C12" s="137" t="n">
        <f aca="false">IFERROR(C8+C9+C10+C11,"")</f>
        <v>0</v>
      </c>
      <c r="D12" s="137" t="n">
        <f aca="false">IFERROR(D8+D9+D10+D11,"")</f>
        <v>0</v>
      </c>
      <c r="E12" s="137" t="n">
        <f aca="false">IFERROR(E8+E9+E10+E11,"")</f>
        <v>0</v>
      </c>
      <c r="F12" s="137" t="n">
        <f aca="false">IFERROR(F8+F9+F10+F11,"")</f>
        <v>0</v>
      </c>
      <c r="G12" s="137" t="n">
        <f aca="false">IFERROR(G8+G9+G10+G11,"")</f>
        <v>0</v>
      </c>
      <c r="H12" s="137" t="n">
        <f aca="false">IFERROR(H8+H9+H10+H11,"")</f>
        <v>0</v>
      </c>
    </row>
    <row r="13" customFormat="false" ht="15" hidden="false" customHeight="true" outlineLevel="0" collapsed="false">
      <c r="A13" s="125" t="s">
        <v>367</v>
      </c>
      <c r="B13" s="126"/>
      <c r="C13" s="126"/>
      <c r="D13" s="126"/>
      <c r="E13" s="126"/>
      <c r="F13" s="126"/>
      <c r="G13" s="126"/>
      <c r="H13" s="126"/>
    </row>
    <row r="14" customFormat="false" ht="15" hidden="false" customHeight="true" outlineLevel="0" collapsed="false">
      <c r="A14" s="127" t="s">
        <v>368</v>
      </c>
      <c r="B14" s="44"/>
      <c r="C14" s="100" t="n">
        <f aca="false">IFERROR(('Project Cost'!$C$6+'Project Cost'!$C$7+'Project Cost'!$C$11+'Project Cost'!$C$8+'Project Cost'!$C$9+'Project Cost'!$C$10+'Project Cost'!$C$5),"")</f>
        <v>0</v>
      </c>
      <c r="D14" s="100" t="n">
        <f aca="false">IFERROR(Depreciation!$F$13,"")</f>
        <v>0</v>
      </c>
      <c r="E14" s="100" t="n">
        <f aca="false">IFERROR(Depreciation!$I$13,"")</f>
        <v>0</v>
      </c>
      <c r="F14" s="100" t="n">
        <f aca="false">IFERROR(Depreciation!$L$13,"")</f>
        <v>0</v>
      </c>
      <c r="G14" s="100" t="n">
        <f aca="false">IFERROR(Depreciation!$O$13,"")</f>
        <v>0</v>
      </c>
      <c r="H14" s="100" t="n">
        <f aca="false">IFERROR(Depreciation!$R$13,"")</f>
        <v>0</v>
      </c>
    </row>
    <row r="15" customFormat="false" ht="15" hidden="false" customHeight="true" outlineLevel="0" collapsed="false">
      <c r="A15" s="127" t="s">
        <v>369</v>
      </c>
      <c r="B15" s="44"/>
      <c r="C15" s="100" t="n">
        <f aca="false">IFERROR('Project Cost'!$C$12,"")</f>
        <v>0</v>
      </c>
      <c r="D15" s="100" t="n">
        <f aca="false">IFERROR(Depreciation!$F$14,"")</f>
        <v>0</v>
      </c>
      <c r="E15" s="100" t="n">
        <f aca="false">IFERROR(Depreciation!$I$14,"")</f>
        <v>0</v>
      </c>
      <c r="F15" s="100" t="n">
        <f aca="false">IFERROR(Depreciation!$L$14,"")</f>
        <v>0</v>
      </c>
      <c r="G15" s="100" t="n">
        <f aca="false">IFERROR(Depreciation!$O$14,"")</f>
        <v>0</v>
      </c>
      <c r="H15" s="100" t="n">
        <f aca="false">IFERROR(Depreciation!$R$14,"")</f>
        <v>0</v>
      </c>
    </row>
    <row r="16" customFormat="false" ht="15" hidden="false" customHeight="true" outlineLevel="0" collapsed="false">
      <c r="A16" s="127" t="str">
        <f aca="false">IFERROR(INDEX('Industry Labels'!$C$17:$Z$17,MATCH(Assumptions!$B$3,'Industry Labels'!$C$4:$Z$4,0)),"Raw-material / stock inventory")</f>
        <v>Raw-material / stock inventory</v>
      </c>
      <c r="B16" s="44"/>
      <c r="C16" s="100" t="n">
        <f aca="false">IFERROR(0,"")</f>
        <v>0</v>
      </c>
      <c r="D16" s="100" t="n">
        <f aca="false">IFERROR('Working Capital'!$C$15,"")</f>
        <v>0</v>
      </c>
      <c r="E16" s="100" t="n">
        <f aca="false">IFERROR('Working Capital'!$D$15,"")</f>
        <v>0</v>
      </c>
      <c r="F16" s="100" t="n">
        <f aca="false">IFERROR('Working Capital'!$E$15,"")</f>
        <v>0</v>
      </c>
      <c r="G16" s="100" t="n">
        <f aca="false">IFERROR('Working Capital'!$F$15,"")</f>
        <v>0</v>
      </c>
      <c r="H16" s="100" t="n">
        <f aca="false">IFERROR('Working Capital'!$G$15,"")</f>
        <v>0</v>
      </c>
    </row>
    <row r="17" customFormat="false" ht="15" hidden="false" customHeight="true" outlineLevel="0" collapsed="false">
      <c r="A17" s="127" t="str">
        <f aca="false">IFERROR(INDEX('Industry Labels'!$C$18:$Z$18,MATCH(Assumptions!$B$3,'Industry Labels'!$C$4:$Z$4,0)),"Finished goods / stock-in-trade")</f>
        <v>Finished goods / stock-in-trade</v>
      </c>
      <c r="B17" s="44"/>
      <c r="C17" s="100" t="n">
        <f aca="false">IFERROR(0,"")</f>
        <v>0</v>
      </c>
      <c r="D17" s="100" t="n">
        <f aca="false">IFERROR('Working Capital'!$C$16,"")</f>
        <v>0</v>
      </c>
      <c r="E17" s="100" t="n">
        <f aca="false">IFERROR('Working Capital'!$D$16,"")</f>
        <v>0</v>
      </c>
      <c r="F17" s="100" t="n">
        <f aca="false">IFERROR('Working Capital'!$E$16,"")</f>
        <v>0</v>
      </c>
      <c r="G17" s="100" t="n">
        <f aca="false">IFERROR('Working Capital'!$F$16,"")</f>
        <v>0</v>
      </c>
      <c r="H17" s="100" t="n">
        <f aca="false">IFERROR('Working Capital'!$G$16,"")</f>
        <v>0</v>
      </c>
    </row>
    <row r="18" customFormat="false" ht="15" hidden="false" customHeight="true" outlineLevel="0" collapsed="false">
      <c r="A18" s="127" t="s">
        <v>187</v>
      </c>
      <c r="B18" s="44"/>
      <c r="C18" s="100" t="n">
        <f aca="false">IFERROR(0,"")</f>
        <v>0</v>
      </c>
      <c r="D18" s="100" t="n">
        <f aca="false">IFERROR('Working Capital'!$C$17,"")</f>
        <v>0</v>
      </c>
      <c r="E18" s="100" t="n">
        <f aca="false">IFERROR('Working Capital'!$D$17,"")</f>
        <v>0</v>
      </c>
      <c r="F18" s="100" t="n">
        <f aca="false">IFERROR('Working Capital'!$E$17,"")</f>
        <v>0</v>
      </c>
      <c r="G18" s="100" t="n">
        <f aca="false">IFERROR('Working Capital'!$F$17,"")</f>
        <v>0</v>
      </c>
      <c r="H18" s="100" t="n">
        <f aca="false">IFERROR('Working Capital'!$G$17,"")</f>
        <v>0</v>
      </c>
    </row>
    <row r="19" customFormat="false" ht="15" hidden="false" customHeight="true" outlineLevel="0" collapsed="false">
      <c r="A19" s="129" t="s">
        <v>370</v>
      </c>
      <c r="B19" s="44"/>
      <c r="C19" s="130" t="n">
        <f aca="false">IFERROR(C12-(C14+C15+C16+C17+C18),"")</f>
        <v>0</v>
      </c>
      <c r="D19" s="130" t="n">
        <f aca="false">IFERROR(D12-(D14+D15+D16+D17+D18),"")</f>
        <v>0</v>
      </c>
      <c r="E19" s="130" t="n">
        <f aca="false">IFERROR(E12-(E14+E15+E16+E17+E18),"")</f>
        <v>0</v>
      </c>
      <c r="F19" s="130" t="n">
        <f aca="false">IFERROR(F12-(F14+F15+F16+F17+F18),"")</f>
        <v>0</v>
      </c>
      <c r="G19" s="130" t="n">
        <f aca="false">IFERROR(G12-(G14+G15+G16+G17+G18),"")</f>
        <v>0</v>
      </c>
      <c r="H19" s="130" t="n">
        <f aca="false">IFERROR(H12-(H14+H15+H16+H17+H18),"")</f>
        <v>0</v>
      </c>
    </row>
    <row r="20" customFormat="false" ht="15" hidden="false" customHeight="true" outlineLevel="0" collapsed="false">
      <c r="A20" s="129" t="s">
        <v>371</v>
      </c>
      <c r="B20" s="44"/>
      <c r="C20" s="137" t="n">
        <f aca="false">IFERROR(C14+C15+C16+C17+C18+C19,"")</f>
        <v>0</v>
      </c>
      <c r="D20" s="137" t="n">
        <f aca="false">IFERROR(D14+D15+D16+D17+D18+D19,"")</f>
        <v>0</v>
      </c>
      <c r="E20" s="137" t="n">
        <f aca="false">IFERROR(E14+E15+E16+E17+E18+E19,"")</f>
        <v>0</v>
      </c>
      <c r="F20" s="137" t="n">
        <f aca="false">IFERROR(F14+F15+F16+F17+F18+F19,"")</f>
        <v>0</v>
      </c>
      <c r="G20" s="137" t="n">
        <f aca="false">IFERROR(G14+G15+G16+G17+G18+G19,"")</f>
        <v>0</v>
      </c>
      <c r="H20" s="137" t="n">
        <f aca="false">IFERROR(H14+H15+H16+H17+H18+H19,"")</f>
        <v>0</v>
      </c>
    </row>
    <row r="21" customFormat="false" ht="15" hidden="false" customHeight="true" outlineLevel="0" collapsed="false">
      <c r="A21" s="127" t="s">
        <v>372</v>
      </c>
      <c r="B21" s="44"/>
      <c r="C21" s="138" t="n">
        <f aca="false">IFERROR(C20-C12,"")</f>
        <v>0</v>
      </c>
      <c r="D21" s="138" t="n">
        <f aca="false">IFERROR(D20-D12,"")</f>
        <v>0</v>
      </c>
      <c r="E21" s="138" t="n">
        <f aca="false">IFERROR(E20-E12,"")</f>
        <v>0</v>
      </c>
      <c r="F21" s="138" t="n">
        <f aca="false">IFERROR(F20-F12,"")</f>
        <v>0</v>
      </c>
      <c r="G21" s="138" t="n">
        <f aca="false">IFERROR(G20-G12,"")</f>
        <v>0</v>
      </c>
      <c r="H21" s="138" t="n">
        <f aca="false">IFERROR(H20-H12,"")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4"/>
    <col collapsed="false" customWidth="true" hidden="false" outlineLevel="0" max="8" min="3" style="1" width="13"/>
  </cols>
  <sheetData>
    <row r="1" customFormat="false" ht="21.75" hidden="false" customHeight="true" outlineLevel="0" collapsed="false">
      <c r="A1" s="47" t="s">
        <v>373</v>
      </c>
      <c r="B1" s="47"/>
      <c r="C1" s="47"/>
      <c r="D1" s="47"/>
      <c r="E1" s="47"/>
      <c r="F1" s="47"/>
      <c r="G1" s="47"/>
      <c r="H1" s="47"/>
    </row>
    <row r="2" customFormat="false" ht="15" hidden="false" customHeight="true" outlineLevel="0" collapsed="false">
      <c r="A2" s="26" t="s">
        <v>374</v>
      </c>
      <c r="B2" s="26"/>
      <c r="C2" s="26"/>
      <c r="D2" s="26"/>
      <c r="E2" s="26"/>
      <c r="F2" s="26"/>
      <c r="G2" s="26"/>
      <c r="H2" s="26"/>
    </row>
    <row r="4" customFormat="false" ht="15" hidden="false" customHeight="true" outlineLevel="0" collapsed="false">
      <c r="A4" s="28" t="s">
        <v>222</v>
      </c>
      <c r="B4" s="121"/>
      <c r="C4" s="95" t="s">
        <v>358</v>
      </c>
      <c r="D4" s="96" t="s">
        <v>265</v>
      </c>
      <c r="E4" s="95" t="s">
        <v>266</v>
      </c>
      <c r="F4" s="96" t="s">
        <v>267</v>
      </c>
      <c r="G4" s="95" t="s">
        <v>268</v>
      </c>
      <c r="H4" s="96" t="s">
        <v>269</v>
      </c>
    </row>
    <row r="5" customFormat="false" ht="15" hidden="false" customHeight="true" outlineLevel="0" collapsed="false">
      <c r="A5" s="125" t="s">
        <v>375</v>
      </c>
      <c r="B5" s="126"/>
      <c r="C5" s="126"/>
      <c r="D5" s="126"/>
      <c r="E5" s="126"/>
      <c r="F5" s="126"/>
      <c r="G5" s="126"/>
      <c r="H5" s="126"/>
    </row>
    <row r="6" customFormat="false" ht="15" hidden="false" customHeight="true" outlineLevel="0" collapsed="false">
      <c r="A6" s="127" t="s">
        <v>338</v>
      </c>
      <c r="B6" s="44"/>
      <c r="C6" s="100" t="n">
        <f aca="false">IFERROR(0,"")</f>
        <v>0</v>
      </c>
      <c r="D6" s="100" t="n">
        <f aca="false">IFERROR('Profitability (Annual)'!$C$38,"")</f>
        <v>0</v>
      </c>
      <c r="E6" s="100" t="n">
        <f aca="false">IFERROR('Profitability (Annual)'!$D$38,"")</f>
        <v>0</v>
      </c>
      <c r="F6" s="100" t="n">
        <f aca="false">IFERROR('Profitability (Annual)'!$E$38,"")</f>
        <v>0</v>
      </c>
      <c r="G6" s="100" t="n">
        <f aca="false">IFERROR('Profitability (Annual)'!$F$38,"")</f>
        <v>0</v>
      </c>
      <c r="H6" s="100" t="n">
        <f aca="false">IFERROR('Profitability (Annual)'!$G$38,"")</f>
        <v>0</v>
      </c>
    </row>
    <row r="7" customFormat="false" ht="15" hidden="false" customHeight="true" outlineLevel="0" collapsed="false">
      <c r="A7" s="127" t="s">
        <v>376</v>
      </c>
      <c r="B7" s="44"/>
      <c r="C7" s="100" t="n">
        <f aca="false">IFERROR(Assumptions!$B$52,"")</f>
        <v>0</v>
      </c>
      <c r="D7" s="100" t="n">
        <f aca="false">IFERROR(0,"")</f>
        <v>0</v>
      </c>
      <c r="E7" s="100" t="n">
        <f aca="false">IFERROR(0,"")</f>
        <v>0</v>
      </c>
      <c r="F7" s="100" t="n">
        <f aca="false">IFERROR(0,"")</f>
        <v>0</v>
      </c>
      <c r="G7" s="100" t="n">
        <f aca="false">IFERROR(0,"")</f>
        <v>0</v>
      </c>
      <c r="H7" s="100" t="n">
        <f aca="false">IFERROR(0,"")</f>
        <v>0</v>
      </c>
    </row>
    <row r="8" customFormat="false" ht="15" hidden="false" customHeight="true" outlineLevel="0" collapsed="false">
      <c r="A8" s="127" t="s">
        <v>377</v>
      </c>
      <c r="B8" s="44"/>
      <c r="C8" s="100" t="n">
        <f aca="false">IFERROR(Assumptions!$B$51,"")</f>
        <v>0</v>
      </c>
      <c r="D8" s="100" t="n">
        <f aca="false">IFERROR(0,"")</f>
        <v>0</v>
      </c>
      <c r="E8" s="100" t="n">
        <f aca="false">IFERROR(0,"")</f>
        <v>0</v>
      </c>
      <c r="F8" s="100" t="n">
        <f aca="false">IFERROR(0,"")</f>
        <v>0</v>
      </c>
      <c r="G8" s="100" t="n">
        <f aca="false">IFERROR(0,"")</f>
        <v>0</v>
      </c>
      <c r="H8" s="100" t="n">
        <f aca="false">IFERROR(0,"")</f>
        <v>0</v>
      </c>
    </row>
    <row r="9" customFormat="false" ht="15" hidden="false" customHeight="true" outlineLevel="0" collapsed="false">
      <c r="A9" s="127" t="s">
        <v>378</v>
      </c>
      <c r="B9" s="44"/>
      <c r="C9" s="100" t="n">
        <f aca="false">IFERROR(0,"")</f>
        <v>0</v>
      </c>
      <c r="D9" s="100" t="n">
        <f aca="false">IFERROR('Working Capital'!$C$24,"")</f>
        <v>0</v>
      </c>
      <c r="E9" s="100" t="n">
        <f aca="false">IFERROR('Working Capital'!$D$24-'Working Capital'!$C$24,"")</f>
        <v>0</v>
      </c>
      <c r="F9" s="100" t="n">
        <f aca="false">IFERROR('Working Capital'!$E$24-'Working Capital'!$D$24,"")</f>
        <v>0</v>
      </c>
      <c r="G9" s="100" t="n">
        <f aca="false">IFERROR('Working Capital'!$F$24-'Working Capital'!$E$24,"")</f>
        <v>0</v>
      </c>
      <c r="H9" s="100" t="n">
        <f aca="false">IFERROR('Working Capital'!$G$24-'Working Capital'!$F$24,"")</f>
        <v>0</v>
      </c>
    </row>
    <row r="10" customFormat="false" ht="15" hidden="false" customHeight="true" outlineLevel="0" collapsed="false">
      <c r="A10" s="127" t="s">
        <v>379</v>
      </c>
      <c r="B10" s="44"/>
      <c r="C10" s="100" t="n">
        <f aca="false">IFERROR(0,"")</f>
        <v>0</v>
      </c>
      <c r="D10" s="100" t="n">
        <f aca="false">IFERROR('Working Capital'!$C$20,"")</f>
        <v>0</v>
      </c>
      <c r="E10" s="100" t="n">
        <f aca="false">IFERROR('Working Capital'!$D$20-'Working Capital'!$C$20,"")</f>
        <v>0</v>
      </c>
      <c r="F10" s="100" t="n">
        <f aca="false">IFERROR('Working Capital'!$E$20-'Working Capital'!$D$20,"")</f>
        <v>0</v>
      </c>
      <c r="G10" s="100" t="n">
        <f aca="false">IFERROR('Working Capital'!$F$20-'Working Capital'!$E$20,"")</f>
        <v>0</v>
      </c>
      <c r="H10" s="100" t="n">
        <f aca="false">IFERROR('Working Capital'!$G$20-'Working Capital'!$F$20,"")</f>
        <v>0</v>
      </c>
    </row>
    <row r="11" customFormat="false" ht="15" hidden="false" customHeight="true" outlineLevel="0" collapsed="false">
      <c r="A11" s="129" t="s">
        <v>380</v>
      </c>
      <c r="B11" s="44"/>
      <c r="C11" s="131" t="n">
        <f aca="false">IFERROR(SUM(C6:C10),"")</f>
        <v>0</v>
      </c>
      <c r="D11" s="131" t="n">
        <f aca="false">IFERROR(SUM(D6:D10),"")</f>
        <v>0</v>
      </c>
      <c r="E11" s="131" t="n">
        <f aca="false">IFERROR(SUM(E6:E10),"")</f>
        <v>0</v>
      </c>
      <c r="F11" s="131" t="n">
        <f aca="false">IFERROR(SUM(F6:F10),"")</f>
        <v>0</v>
      </c>
      <c r="G11" s="131" t="n">
        <f aca="false">IFERROR(SUM(G6:G10),"")</f>
        <v>0</v>
      </c>
      <c r="H11" s="131" t="n">
        <f aca="false">IFERROR(SUM(H6:H10),"")</f>
        <v>0</v>
      </c>
    </row>
    <row r="12" customFormat="false" ht="15" hidden="false" customHeight="true" outlineLevel="0" collapsed="false">
      <c r="A12" s="125" t="s">
        <v>381</v>
      </c>
      <c r="B12" s="126"/>
      <c r="C12" s="126"/>
      <c r="D12" s="126"/>
      <c r="E12" s="126"/>
      <c r="F12" s="126"/>
      <c r="G12" s="126"/>
      <c r="H12" s="126"/>
    </row>
    <row r="13" customFormat="false" ht="15" hidden="false" customHeight="true" outlineLevel="0" collapsed="false">
      <c r="A13" s="127" t="s">
        <v>382</v>
      </c>
      <c r="B13" s="44"/>
      <c r="C13" s="100" t="n">
        <f aca="false">IFERROR(('Project Cost'!$C$6+'Project Cost'!$C$7+'Project Cost'!$C$11+'Project Cost'!$C$8+'Project Cost'!$C$9+'Project Cost'!$C$10+'Project Cost'!$C$5+'Project Cost'!$C$12),"")</f>
        <v>0</v>
      </c>
      <c r="D13" s="100" t="n">
        <f aca="false">IFERROR(0,"")</f>
        <v>0</v>
      </c>
      <c r="E13" s="100" t="n">
        <f aca="false">IFERROR(0,"")</f>
        <v>0</v>
      </c>
      <c r="F13" s="100" t="n">
        <f aca="false">IFERROR(0,"")</f>
        <v>0</v>
      </c>
      <c r="G13" s="100" t="n">
        <f aca="false">IFERROR(0,"")</f>
        <v>0</v>
      </c>
      <c r="H13" s="100" t="n">
        <f aca="false">IFERROR(0,"")</f>
        <v>0</v>
      </c>
    </row>
    <row r="14" customFormat="false" ht="15" hidden="false" customHeight="true" outlineLevel="0" collapsed="false">
      <c r="A14" s="127" t="s">
        <v>383</v>
      </c>
      <c r="B14" s="44"/>
      <c r="C14" s="100" t="n">
        <f aca="false">IFERROR(0,"")</f>
        <v>0</v>
      </c>
      <c r="D14" s="100" t="n">
        <f aca="false">IFERROR(('Working Capital'!$C$15+'Working Capital'!$C$16+'Working Capital'!$C$17),"")</f>
        <v>0</v>
      </c>
      <c r="E14" s="100" t="n">
        <f aca="false">IFERROR(('Working Capital'!$D$15+'Working Capital'!$D$16+'Working Capital'!$D$17)-('Working Capital'!$C$15+'Working Capital'!$C$16+'Working Capital'!$C$17),"")</f>
        <v>0</v>
      </c>
      <c r="F14" s="100" t="n">
        <f aca="false">IFERROR(('Working Capital'!$E$15+'Working Capital'!$E$16+'Working Capital'!$E$17)-('Working Capital'!$D$15+'Working Capital'!$D$16+'Working Capital'!$D$17),"")</f>
        <v>0</v>
      </c>
      <c r="G14" s="100" t="n">
        <f aca="false">IFERROR(('Working Capital'!$F$15+'Working Capital'!$F$16+'Working Capital'!$F$17)-('Working Capital'!$E$15+'Working Capital'!$E$16+'Working Capital'!$E$17),"")</f>
        <v>0</v>
      </c>
      <c r="H14" s="100" t="n">
        <f aca="false">IFERROR(('Working Capital'!$G$15+'Working Capital'!$G$16+'Working Capital'!$G$17)-('Working Capital'!$F$15+'Working Capital'!$F$16+'Working Capital'!$F$17),"")</f>
        <v>0</v>
      </c>
    </row>
    <row r="15" customFormat="false" ht="15" hidden="false" customHeight="true" outlineLevel="0" collapsed="false">
      <c r="A15" s="127" t="s">
        <v>384</v>
      </c>
      <c r="B15" s="44"/>
      <c r="C15" s="100" t="n">
        <f aca="false">IFERROR(0,"")</f>
        <v>0</v>
      </c>
      <c r="D15" s="100" t="n">
        <f aca="false">IFERROR(SUM('Term Loan'!C9:N9),"")</f>
        <v>0</v>
      </c>
      <c r="E15" s="100" t="n">
        <f aca="false">IFERROR(SUM('Term Loan'!O9:Z9),"")</f>
        <v>0</v>
      </c>
      <c r="F15" s="100" t="n">
        <f aca="false">IFERROR(SUM('Term Loan'!AA9:AL9),"")</f>
        <v>0</v>
      </c>
      <c r="G15" s="100" t="n">
        <f aca="false">IFERROR(SUM('Term Loan'!AM9:AX9),"")</f>
        <v>0</v>
      </c>
      <c r="H15" s="100" t="n">
        <f aca="false">IFERROR(SUM('Term Loan'!AY9:BJ9),"")</f>
        <v>0</v>
      </c>
    </row>
    <row r="16" customFormat="false" ht="15" hidden="false" customHeight="true" outlineLevel="0" collapsed="false">
      <c r="A16" s="129" t="s">
        <v>385</v>
      </c>
      <c r="B16" s="44"/>
      <c r="C16" s="131" t="n">
        <f aca="false">IFERROR(C13+C14+C15,"")</f>
        <v>0</v>
      </c>
      <c r="D16" s="131" t="n">
        <f aca="false">IFERROR(D13+D14+D15,"")</f>
        <v>0</v>
      </c>
      <c r="E16" s="131" t="n">
        <f aca="false">IFERROR(E13+E14+E15,"")</f>
        <v>0</v>
      </c>
      <c r="F16" s="131" t="n">
        <f aca="false">IFERROR(F13+F14+F15,"")</f>
        <v>0</v>
      </c>
      <c r="G16" s="131" t="n">
        <f aca="false">IFERROR(G13+G14+G15,"")</f>
        <v>0</v>
      </c>
      <c r="H16" s="131" t="n">
        <f aca="false">IFERROR(H13+H14+H15,"")</f>
        <v>0</v>
      </c>
    </row>
    <row r="17" customFormat="false" ht="15" hidden="false" customHeight="true" outlineLevel="0" collapsed="false">
      <c r="A17" s="125" t="s">
        <v>386</v>
      </c>
      <c r="B17" s="126"/>
      <c r="C17" s="126"/>
      <c r="D17" s="126"/>
      <c r="E17" s="126"/>
      <c r="F17" s="126"/>
      <c r="G17" s="126"/>
      <c r="H17" s="126"/>
    </row>
    <row r="18" customFormat="false" ht="15" hidden="false" customHeight="true" outlineLevel="0" collapsed="false">
      <c r="A18" s="129" t="s">
        <v>387</v>
      </c>
      <c r="B18" s="44"/>
      <c r="C18" s="117" t="n">
        <f aca="false">IFERROR(C11-C16,"")</f>
        <v>0</v>
      </c>
      <c r="D18" s="117" t="n">
        <f aca="false">IFERROR(D11-D16,"")</f>
        <v>0</v>
      </c>
      <c r="E18" s="117" t="n">
        <f aca="false">IFERROR(E11-E16,"")</f>
        <v>0</v>
      </c>
      <c r="F18" s="117" t="n">
        <f aca="false">IFERROR(F11-F16,"")</f>
        <v>0</v>
      </c>
      <c r="G18" s="117" t="n">
        <f aca="false">IFERROR(G11-G16,"")</f>
        <v>0</v>
      </c>
      <c r="H18" s="117" t="n">
        <f aca="false">IFERROR(H11-H16,"")</f>
        <v>0</v>
      </c>
    </row>
    <row r="19" customFormat="false" ht="15" hidden="false" customHeight="true" outlineLevel="0" collapsed="false">
      <c r="A19" s="127" t="s">
        <v>388</v>
      </c>
      <c r="B19" s="44"/>
      <c r="C19" s="100" t="n">
        <f aca="false">IFERROR(0,"")</f>
        <v>0</v>
      </c>
      <c r="D19" s="100" t="n">
        <f aca="false">IFERROR(C20,"")</f>
        <v>0</v>
      </c>
      <c r="E19" s="100" t="n">
        <f aca="false">IFERROR(D20,"")</f>
        <v>0</v>
      </c>
      <c r="F19" s="100" t="n">
        <f aca="false">IFERROR(E20,"")</f>
        <v>0</v>
      </c>
      <c r="G19" s="100" t="n">
        <f aca="false">IFERROR(F20,"")</f>
        <v>0</v>
      </c>
      <c r="H19" s="100" t="n">
        <f aca="false">IFERROR(G20,"")</f>
        <v>0</v>
      </c>
    </row>
    <row r="20" customFormat="false" ht="15" hidden="false" customHeight="true" outlineLevel="0" collapsed="false">
      <c r="A20" s="129" t="s">
        <v>389</v>
      </c>
      <c r="B20" s="44"/>
      <c r="C20" s="130" t="n">
        <f aca="false">IFERROR(C19+C18,"")</f>
        <v>0</v>
      </c>
      <c r="D20" s="130" t="n">
        <f aca="false">IFERROR(D19+D18,"")</f>
        <v>0</v>
      </c>
      <c r="E20" s="130" t="n">
        <f aca="false">IFERROR(E19+E18,"")</f>
        <v>0</v>
      </c>
      <c r="F20" s="130" t="n">
        <f aca="false">IFERROR(F19+F18,"")</f>
        <v>0</v>
      </c>
      <c r="G20" s="130" t="n">
        <f aca="false">IFERROR(G19+G18,"")</f>
        <v>0</v>
      </c>
      <c r="H20" s="130" t="n">
        <f aca="false">IFERROR(H19+H18,"")</f>
        <v>0</v>
      </c>
    </row>
    <row r="21" customFormat="false" ht="15" hidden="false" customHeight="true" outlineLevel="0" collapsed="false">
      <c r="A21" s="127" t="s">
        <v>390</v>
      </c>
      <c r="B21" s="44"/>
      <c r="C21" s="138" t="n">
        <f aca="false">IFERROR('Balance Sheet'!$C$19-C20,"")</f>
        <v>0</v>
      </c>
      <c r="D21" s="138" t="n">
        <f aca="false">IFERROR('Balance Sheet'!$D$19-D20,"")</f>
        <v>0</v>
      </c>
      <c r="E21" s="138" t="n">
        <f aca="false">IFERROR('Balance Sheet'!$E$19-E20,"")</f>
        <v>0</v>
      </c>
      <c r="F21" s="138" t="n">
        <f aca="false">IFERROR('Balance Sheet'!$F$19-F20,"")</f>
        <v>0</v>
      </c>
      <c r="G21" s="138" t="n">
        <f aca="false">IFERROR('Balance Sheet'!$G$19-G20,"")</f>
        <v>0</v>
      </c>
      <c r="H21" s="138" t="n">
        <f aca="false">IFERROR('Balance Sheet'!$H$19-H20,"")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"/>
    <col collapsed="false" customWidth="true" hidden="false" outlineLevel="0" max="7" min="3" style="1" width="13"/>
  </cols>
  <sheetData>
    <row r="1" customFormat="false" ht="21.75" hidden="false" customHeight="true" outlineLevel="0" collapsed="false">
      <c r="A1" s="47" t="s">
        <v>391</v>
      </c>
      <c r="B1" s="47"/>
      <c r="C1" s="47"/>
      <c r="D1" s="47"/>
      <c r="E1" s="47"/>
      <c r="F1" s="47"/>
      <c r="G1" s="47"/>
    </row>
    <row r="2" customFormat="false" ht="15" hidden="false" customHeight="true" outlineLevel="0" collapsed="false">
      <c r="A2" s="26" t="s">
        <v>392</v>
      </c>
      <c r="B2" s="26"/>
      <c r="C2" s="26"/>
      <c r="D2" s="26"/>
      <c r="E2" s="26"/>
      <c r="F2" s="26"/>
      <c r="G2" s="26"/>
    </row>
    <row r="4" customFormat="false" ht="15" hidden="false" customHeight="true" outlineLevel="0" collapsed="false">
      <c r="A4" s="28" t="s">
        <v>393</v>
      </c>
      <c r="B4" s="27" t="s">
        <v>394</v>
      </c>
      <c r="C4" s="95" t="s">
        <v>395</v>
      </c>
      <c r="D4" s="96" t="s">
        <v>396</v>
      </c>
      <c r="E4" s="95" t="s">
        <v>397</v>
      </c>
      <c r="F4" s="96" t="s">
        <v>398</v>
      </c>
      <c r="G4" s="95" t="s">
        <v>399</v>
      </c>
    </row>
    <row r="5" customFormat="false" ht="15" hidden="false" customHeight="true" outlineLevel="0" collapsed="false">
      <c r="A5" s="125" t="s">
        <v>400</v>
      </c>
      <c r="B5" s="126"/>
      <c r="C5" s="126"/>
      <c r="D5" s="126"/>
      <c r="E5" s="126"/>
      <c r="F5" s="126"/>
      <c r="G5" s="126"/>
    </row>
    <row r="6" customFormat="false" ht="15" hidden="false" customHeight="true" outlineLevel="0" collapsed="false">
      <c r="A6" s="127" t="s">
        <v>314</v>
      </c>
      <c r="B6" s="139" t="s">
        <v>401</v>
      </c>
      <c r="C6" s="116" t="str">
        <f aca="false">IFERROR('Profitability (Annual)'!$C$27/'Profitability (Annual)'!$C$9,"")</f>
        <v/>
      </c>
      <c r="D6" s="116" t="str">
        <f aca="false">IFERROR('Profitability (Annual)'!$D$27/'Profitability (Annual)'!$D$9,"")</f>
        <v/>
      </c>
      <c r="E6" s="116" t="str">
        <f aca="false">IFERROR('Profitability (Annual)'!$E$27/'Profitability (Annual)'!$E$9,"")</f>
        <v/>
      </c>
      <c r="F6" s="116" t="str">
        <f aca="false">IFERROR('Profitability (Annual)'!$F$27/'Profitability (Annual)'!$F$9,"")</f>
        <v/>
      </c>
      <c r="G6" s="116" t="str">
        <f aca="false">IFERROR('Profitability (Annual)'!$G$27/'Profitability (Annual)'!$G$9,"")</f>
        <v/>
      </c>
    </row>
    <row r="7" customFormat="false" ht="15" hidden="false" customHeight="true" outlineLevel="0" collapsed="false">
      <c r="A7" s="127" t="s">
        <v>402</v>
      </c>
      <c r="B7" s="139"/>
      <c r="C7" s="116" t="str">
        <f aca="false">IFERROR('Profitability (Annual)'!$C$34/'Profitability (Annual)'!$C$9,"")</f>
        <v/>
      </c>
      <c r="D7" s="116" t="str">
        <f aca="false">IFERROR('Profitability (Annual)'!$D$34/'Profitability (Annual)'!$D$9,"")</f>
        <v/>
      </c>
      <c r="E7" s="116" t="str">
        <f aca="false">IFERROR('Profitability (Annual)'!$E$34/'Profitability (Annual)'!$E$9,"")</f>
        <v/>
      </c>
      <c r="F7" s="116" t="str">
        <f aca="false">IFERROR('Profitability (Annual)'!$F$34/'Profitability (Annual)'!$F$9,"")</f>
        <v/>
      </c>
      <c r="G7" s="116" t="str">
        <f aca="false">IFERROR('Profitability (Annual)'!$G$34/'Profitability (Annual)'!$G$9,"")</f>
        <v/>
      </c>
    </row>
    <row r="8" customFormat="false" ht="15" hidden="false" customHeight="true" outlineLevel="0" collapsed="false">
      <c r="A8" s="127" t="s">
        <v>323</v>
      </c>
      <c r="B8" s="139"/>
      <c r="C8" s="116" t="str">
        <f aca="false">IFERROR('Profitability (Annual)'!$C$36/'Profitability (Annual)'!$C$9,"")</f>
        <v/>
      </c>
      <c r="D8" s="116" t="str">
        <f aca="false">IFERROR('Profitability (Annual)'!$D$36/'Profitability (Annual)'!$D$9,"")</f>
        <v/>
      </c>
      <c r="E8" s="116" t="str">
        <f aca="false">IFERROR('Profitability (Annual)'!$E$36/'Profitability (Annual)'!$E$9,"")</f>
        <v/>
      </c>
      <c r="F8" s="116" t="str">
        <f aca="false">IFERROR('Profitability (Annual)'!$F$36/'Profitability (Annual)'!$F$9,"")</f>
        <v/>
      </c>
      <c r="G8" s="116" t="str">
        <f aca="false">IFERROR('Profitability (Annual)'!$G$36/'Profitability (Annual)'!$G$9,"")</f>
        <v/>
      </c>
    </row>
    <row r="9" customFormat="false" ht="15" hidden="false" customHeight="true" outlineLevel="0" collapsed="false">
      <c r="A9" s="127" t="s">
        <v>403</v>
      </c>
      <c r="B9" s="139" t="s">
        <v>401</v>
      </c>
      <c r="C9" s="116" t="str">
        <f aca="false">IFERROR('Profitability (Annual)'!$C$30/('Balance Sheet'!$D$8+('Term Loan'!N11+'Working Capital'!$C$24)),"")</f>
        <v/>
      </c>
      <c r="D9" s="116" t="str">
        <f aca="false">IFERROR('Profitability (Annual)'!$D$30/('Balance Sheet'!$E$8+('Term Loan'!Z11+'Working Capital'!$D$24)),"")</f>
        <v/>
      </c>
      <c r="E9" s="116" t="str">
        <f aca="false">IFERROR('Profitability (Annual)'!$E$30/('Balance Sheet'!$F$8+('Term Loan'!AL11+'Working Capital'!$E$24)),"")</f>
        <v/>
      </c>
      <c r="F9" s="116" t="str">
        <f aca="false">IFERROR('Profitability (Annual)'!$F$30/('Balance Sheet'!$G$8+('Term Loan'!AX11+'Working Capital'!$F$24)),"")</f>
        <v/>
      </c>
      <c r="G9" s="116" t="str">
        <f aca="false">IFERROR('Profitability (Annual)'!$G$30/('Balance Sheet'!$H$8+('Term Loan'!BJ11+'Working Capital'!$G$24)),"")</f>
        <v/>
      </c>
    </row>
    <row r="10" customFormat="false" ht="15" hidden="false" customHeight="true" outlineLevel="0" collapsed="false">
      <c r="A10" s="127" t="s">
        <v>404</v>
      </c>
      <c r="B10" s="139"/>
      <c r="C10" s="116" t="str">
        <f aca="false">IFERROR('Profitability (Annual)'!$C$36/'Balance Sheet'!$D$8,"")</f>
        <v/>
      </c>
      <c r="D10" s="116" t="str">
        <f aca="false">IFERROR('Profitability (Annual)'!$D$36/'Balance Sheet'!$E$8,"")</f>
        <v/>
      </c>
      <c r="E10" s="116" t="str">
        <f aca="false">IFERROR('Profitability (Annual)'!$E$36/'Balance Sheet'!$F$8,"")</f>
        <v/>
      </c>
      <c r="F10" s="116" t="str">
        <f aca="false">IFERROR('Profitability (Annual)'!$F$36/'Balance Sheet'!$G$8,"")</f>
        <v/>
      </c>
      <c r="G10" s="116" t="str">
        <f aca="false">IFERROR('Profitability (Annual)'!$G$36/'Balance Sheet'!$H$8,"")</f>
        <v/>
      </c>
    </row>
    <row r="11" customFormat="false" ht="15" hidden="false" customHeight="true" outlineLevel="0" collapsed="false">
      <c r="A11" s="125" t="s">
        <v>405</v>
      </c>
      <c r="B11" s="126"/>
      <c r="C11" s="126"/>
      <c r="D11" s="126"/>
      <c r="E11" s="126"/>
      <c r="F11" s="126"/>
      <c r="G11" s="126"/>
    </row>
    <row r="12" customFormat="false" ht="15" hidden="false" customHeight="true" outlineLevel="0" collapsed="false">
      <c r="A12" s="127" t="s">
        <v>406</v>
      </c>
      <c r="B12" s="139" t="s">
        <v>407</v>
      </c>
      <c r="C12" s="140" t="str">
        <f aca="false">IFERROR(('Term Loan'!N11+'Working Capital'!$C$24)/'Balance Sheet'!$D$8,"")</f>
        <v/>
      </c>
      <c r="D12" s="140" t="str">
        <f aca="false">IFERROR(('Term Loan'!Z11+'Working Capital'!$D$24)/'Balance Sheet'!$E$8,"")</f>
        <v/>
      </c>
      <c r="E12" s="140" t="str">
        <f aca="false">IFERROR(('Term Loan'!AL11+'Working Capital'!$E$24)/'Balance Sheet'!$F$8,"")</f>
        <v/>
      </c>
      <c r="F12" s="140" t="str">
        <f aca="false">IFERROR(('Term Loan'!AX11+'Working Capital'!$F$24)/'Balance Sheet'!$G$8,"")</f>
        <v/>
      </c>
      <c r="G12" s="140" t="str">
        <f aca="false">IFERROR(('Term Loan'!BJ11+'Working Capital'!$G$24)/'Balance Sheet'!$H$8,"")</f>
        <v/>
      </c>
    </row>
    <row r="13" customFormat="false" ht="15" hidden="false" customHeight="true" outlineLevel="0" collapsed="false">
      <c r="A13" s="127" t="s">
        <v>408</v>
      </c>
      <c r="B13" s="139" t="s">
        <v>409</v>
      </c>
      <c r="C13" s="140" t="str">
        <f aca="false">IFERROR((('Term Loan'!N11+'Working Capital'!$C$24)+'Working Capital'!$C$20)/'Balance Sheet'!$D$8,"")</f>
        <v/>
      </c>
      <c r="D13" s="140" t="str">
        <f aca="false">IFERROR((('Term Loan'!Z11+'Working Capital'!$D$24)+'Working Capital'!$D$20)/'Balance Sheet'!$E$8,"")</f>
        <v/>
      </c>
      <c r="E13" s="140" t="str">
        <f aca="false">IFERROR((('Term Loan'!AL11+'Working Capital'!$E$24)+'Working Capital'!$E$20)/'Balance Sheet'!$F$8,"")</f>
        <v/>
      </c>
      <c r="F13" s="140" t="str">
        <f aca="false">IFERROR((('Term Loan'!AX11+'Working Capital'!$F$24)+'Working Capital'!$F$20)/'Balance Sheet'!$G$8,"")</f>
        <v/>
      </c>
      <c r="G13" s="140" t="str">
        <f aca="false">IFERROR((('Term Loan'!BJ11+'Working Capital'!$G$24)+'Working Capital'!$G$20)/'Balance Sheet'!$H$8,"")</f>
        <v/>
      </c>
    </row>
    <row r="14" customFormat="false" ht="15" hidden="false" customHeight="true" outlineLevel="0" collapsed="false">
      <c r="A14" s="127" t="s">
        <v>410</v>
      </c>
      <c r="B14" s="139" t="s">
        <v>411</v>
      </c>
      <c r="C14" s="141" t="str">
        <f aca="false">IFERROR('Profitability (Annual)'!$C$30/'Profitability (Annual)'!$C$33,"")</f>
        <v/>
      </c>
      <c r="D14" s="141" t="str">
        <f aca="false">IFERROR('Profitability (Annual)'!$D$30/'Profitability (Annual)'!$D$33,"")</f>
        <v/>
      </c>
      <c r="E14" s="141" t="str">
        <f aca="false">IFERROR('Profitability (Annual)'!$E$30/'Profitability (Annual)'!$E$33,"")</f>
        <v/>
      </c>
      <c r="F14" s="141" t="str">
        <f aca="false">IFERROR('Profitability (Annual)'!$F$30/'Profitability (Annual)'!$F$33,"")</f>
        <v/>
      </c>
      <c r="G14" s="141" t="str">
        <f aca="false">IFERROR('Profitability (Annual)'!$G$30/'Profitability (Annual)'!$G$33,"")</f>
        <v/>
      </c>
    </row>
    <row r="15" customFormat="false" ht="15" hidden="false" customHeight="true" outlineLevel="0" collapsed="false">
      <c r="A15" s="125" t="s">
        <v>412</v>
      </c>
      <c r="B15" s="126"/>
      <c r="C15" s="126"/>
      <c r="D15" s="126"/>
      <c r="E15" s="126"/>
      <c r="F15" s="126"/>
      <c r="G15" s="126"/>
    </row>
    <row r="16" customFormat="false" ht="15" hidden="false" customHeight="true" outlineLevel="0" collapsed="false">
      <c r="A16" s="127" t="s">
        <v>413</v>
      </c>
      <c r="B16" s="139" t="s">
        <v>414</v>
      </c>
      <c r="C16" s="141" t="str">
        <f aca="false">IFERROR(('Working Capital'!$C$18+'Balance Sheet'!$D$19)/('Working Capital'!$C$24+'Working Capital'!$C$20),"")</f>
        <v/>
      </c>
      <c r="D16" s="141" t="str">
        <f aca="false">IFERROR(('Working Capital'!$D$18+'Balance Sheet'!$E$19)/('Working Capital'!$D$24+'Working Capital'!$D$20),"")</f>
        <v/>
      </c>
      <c r="E16" s="141" t="str">
        <f aca="false">IFERROR(('Working Capital'!$E$18+'Balance Sheet'!$F$19)/('Working Capital'!$E$24+'Working Capital'!$E$20),"")</f>
        <v/>
      </c>
      <c r="F16" s="141" t="str">
        <f aca="false">IFERROR(('Working Capital'!$F$18+'Balance Sheet'!$G$19)/('Working Capital'!$F$24+'Working Capital'!$F$20),"")</f>
        <v/>
      </c>
      <c r="G16" s="141" t="str">
        <f aca="false">IFERROR(('Working Capital'!$G$18+'Balance Sheet'!$H$19)/('Working Capital'!$G$24+'Working Capital'!$G$20),"")</f>
        <v/>
      </c>
    </row>
    <row r="17" customFormat="false" ht="15" hidden="false" customHeight="true" outlineLevel="0" collapsed="false">
      <c r="A17" s="127" t="s">
        <v>415</v>
      </c>
      <c r="B17" s="139"/>
      <c r="C17" s="140" t="str">
        <f aca="false">IFERROR((('Working Capital'!$C$18+'Balance Sheet'!$D$19)-'Working Capital'!$C$15-'Working Capital'!$C$16)/('Working Capital'!$C$24+'Working Capital'!$C$20),"")</f>
        <v/>
      </c>
      <c r="D17" s="140" t="str">
        <f aca="false">IFERROR((('Working Capital'!$D$18+'Balance Sheet'!$E$19)-'Working Capital'!$D$15-'Working Capital'!$D$16)/('Working Capital'!$D$24+'Working Capital'!$D$20),"")</f>
        <v/>
      </c>
      <c r="E17" s="140" t="str">
        <f aca="false">IFERROR((('Working Capital'!$E$18+'Balance Sheet'!$F$19)-'Working Capital'!$E$15-'Working Capital'!$E$16)/('Working Capital'!$E$24+'Working Capital'!$E$20),"")</f>
        <v/>
      </c>
      <c r="F17" s="140" t="str">
        <f aca="false">IFERROR((('Working Capital'!$F$18+'Balance Sheet'!$G$19)-'Working Capital'!$F$15-'Working Capital'!$F$16)/('Working Capital'!$F$24+'Working Capital'!$F$20),"")</f>
        <v/>
      </c>
      <c r="G17" s="140" t="str">
        <f aca="false">IFERROR((('Working Capital'!$G$18+'Balance Sheet'!$H$19)-'Working Capital'!$G$15-'Working Capital'!$G$16)/('Working Capital'!$G$24+'Working Capital'!$G$20),"")</f>
        <v/>
      </c>
    </row>
    <row r="18" customFormat="false" ht="15" hidden="false" customHeight="true" outlineLevel="0" collapsed="false">
      <c r="A18" s="125" t="s">
        <v>416</v>
      </c>
      <c r="B18" s="126"/>
      <c r="C18" s="126"/>
      <c r="D18" s="126"/>
      <c r="E18" s="126"/>
      <c r="F18" s="126"/>
      <c r="G18" s="126"/>
    </row>
    <row r="19" customFormat="false" ht="15" hidden="false" customHeight="true" outlineLevel="0" collapsed="false">
      <c r="A19" s="127" t="s">
        <v>417</v>
      </c>
      <c r="B19" s="139"/>
      <c r="C19" s="140" t="str">
        <f aca="false">IFERROR('Profitability (Annual)'!$C$9/('Balance Sheet'!$D$8+('Term Loan'!N11+'Working Capital'!$C$24)+'Working Capital'!$C$20),"")</f>
        <v/>
      </c>
      <c r="D19" s="140" t="str">
        <f aca="false">IFERROR('Profitability (Annual)'!$D$9/('Balance Sheet'!$E$8+('Term Loan'!Z11+'Working Capital'!$D$24)+'Working Capital'!$D$20),"")</f>
        <v/>
      </c>
      <c r="E19" s="140" t="str">
        <f aca="false">IFERROR('Profitability (Annual)'!$E$9/('Balance Sheet'!$F$8+('Term Loan'!AL11+'Working Capital'!$E$24)+'Working Capital'!$E$20),"")</f>
        <v/>
      </c>
      <c r="F19" s="140" t="str">
        <f aca="false">IFERROR('Profitability (Annual)'!$F$9/('Balance Sheet'!$G$8+('Term Loan'!AX11+'Working Capital'!$F$24)+'Working Capital'!$F$20),"")</f>
        <v/>
      </c>
      <c r="G19" s="140" t="str">
        <f aca="false">IFERROR('Profitability (Annual)'!$G$9/('Balance Sheet'!$H$8+('Term Loan'!BJ11+'Working Capital'!$G$24)+'Working Capital'!$G$20),"")</f>
        <v/>
      </c>
    </row>
    <row r="20" customFormat="false" ht="15" hidden="false" customHeight="true" outlineLevel="0" collapsed="false">
      <c r="A20" s="127" t="s">
        <v>418</v>
      </c>
      <c r="B20" s="139" t="s">
        <v>101</v>
      </c>
      <c r="C20" s="142" t="str">
        <f aca="false">IFERROR('Working Capital'!$C$17/'Profitability (Annual)'!$C$9*360,"")</f>
        <v/>
      </c>
      <c r="D20" s="142" t="str">
        <f aca="false">IFERROR('Working Capital'!$D$17/'Profitability (Annual)'!$D$9*360,"")</f>
        <v/>
      </c>
      <c r="E20" s="142" t="str">
        <f aca="false">IFERROR('Working Capital'!$E$17/'Profitability (Annual)'!$E$9*360,"")</f>
        <v/>
      </c>
      <c r="F20" s="142" t="str">
        <f aca="false">IFERROR('Working Capital'!$F$17/'Profitability (Annual)'!$F$9*360,"")</f>
        <v/>
      </c>
      <c r="G20" s="142" t="str">
        <f aca="false">IFERROR('Working Capital'!$G$17/'Profitability (Annual)'!$G$9*360,"")</f>
        <v/>
      </c>
    </row>
    <row r="21" customFormat="false" ht="15" hidden="false" customHeight="true" outlineLevel="0" collapsed="false">
      <c r="A21" s="127" t="s">
        <v>419</v>
      </c>
      <c r="B21" s="139" t="s">
        <v>101</v>
      </c>
      <c r="C21" s="142" t="str">
        <f aca="false">IFERROR(('Working Capital'!$C$15+'Working Capital'!$C$16)/'Profitability (Annual)'!$C$9*360,"")</f>
        <v/>
      </c>
      <c r="D21" s="142" t="str">
        <f aca="false">IFERROR(('Working Capital'!$D$15+'Working Capital'!$D$16)/'Profitability (Annual)'!$D$9*360,"")</f>
        <v/>
      </c>
      <c r="E21" s="142" t="str">
        <f aca="false">IFERROR(('Working Capital'!$E$15+'Working Capital'!$E$16)/'Profitability (Annual)'!$E$9*360,"")</f>
        <v/>
      </c>
      <c r="F21" s="142" t="str">
        <f aca="false">IFERROR(('Working Capital'!$F$15+'Working Capital'!$F$16)/'Profitability (Annual)'!$F$9*360,"")</f>
        <v/>
      </c>
      <c r="G21" s="142" t="str">
        <f aca="false">IFERROR(('Working Capital'!$G$15+'Working Capital'!$G$16)/'Profitability (Annual)'!$G$9*360,"")</f>
        <v/>
      </c>
    </row>
    <row r="22" customFormat="false" ht="15" hidden="false" customHeight="true" outlineLevel="0" collapsed="false">
      <c r="A22" s="125" t="s">
        <v>420</v>
      </c>
      <c r="B22" s="126"/>
      <c r="C22" s="126"/>
      <c r="D22" s="126"/>
      <c r="E22" s="126"/>
      <c r="F22" s="126"/>
      <c r="G22" s="126"/>
    </row>
    <row r="23" customFormat="false" ht="15" hidden="false" customHeight="true" outlineLevel="0" collapsed="false">
      <c r="A23" s="127" t="s">
        <v>421</v>
      </c>
      <c r="B23" s="139"/>
      <c r="C23" s="100" t="n">
        <f aca="false">IFERROR('Profitability (Annual)'!$C$36+'Profitability (Annual)'!$C$29+'Profitability (Annual)'!$C$31,"")</f>
        <v>0</v>
      </c>
      <c r="D23" s="100" t="n">
        <f aca="false">IFERROR('Profitability (Annual)'!$D$36+'Profitability (Annual)'!$D$29+'Profitability (Annual)'!$D$31,"")</f>
        <v>0</v>
      </c>
      <c r="E23" s="100" t="n">
        <f aca="false">IFERROR('Profitability (Annual)'!$E$36+'Profitability (Annual)'!$E$29+'Profitability (Annual)'!$E$31,"")</f>
        <v>0</v>
      </c>
      <c r="F23" s="100" t="n">
        <f aca="false">IFERROR('Profitability (Annual)'!$F$36+'Profitability (Annual)'!$F$29+'Profitability (Annual)'!$F$31,"")</f>
        <v>0</v>
      </c>
      <c r="G23" s="100" t="n">
        <f aca="false">IFERROR('Profitability (Annual)'!$G$36+'Profitability (Annual)'!$G$29+'Profitability (Annual)'!$G$31,"")</f>
        <v>0</v>
      </c>
    </row>
    <row r="24" customFormat="false" ht="15" hidden="false" customHeight="true" outlineLevel="0" collapsed="false">
      <c r="A24" s="127" t="s">
        <v>422</v>
      </c>
      <c r="B24" s="139"/>
      <c r="C24" s="100" t="n">
        <f aca="false">IFERROR(SUM('Term Loan'!C9:N9)+'Profitability (Annual)'!$C$31,"")</f>
        <v>0</v>
      </c>
      <c r="D24" s="100" t="n">
        <f aca="false">IFERROR(SUM('Term Loan'!O9:Z9)+'Profitability (Annual)'!$D$31,"")</f>
        <v>0</v>
      </c>
      <c r="E24" s="100" t="n">
        <f aca="false">IFERROR(SUM('Term Loan'!AA9:AL9)+'Profitability (Annual)'!$E$31,"")</f>
        <v>0</v>
      </c>
      <c r="F24" s="100" t="n">
        <f aca="false">IFERROR(SUM('Term Loan'!AM9:AX9)+'Profitability (Annual)'!$F$31,"")</f>
        <v>0</v>
      </c>
      <c r="G24" s="100" t="n">
        <f aca="false">IFERROR(SUM('Term Loan'!AY9:BJ9)+'Profitability (Annual)'!$G$31,"")</f>
        <v>0</v>
      </c>
    </row>
    <row r="25" customFormat="false" ht="15" hidden="false" customHeight="true" outlineLevel="0" collapsed="false">
      <c r="A25" s="127" t="s">
        <v>423</v>
      </c>
      <c r="B25" s="139" t="s">
        <v>424</v>
      </c>
      <c r="C25" s="143" t="n">
        <f aca="false">IFERROR(IF(C24=0,0,C23/C24),"")</f>
        <v>0</v>
      </c>
      <c r="D25" s="143" t="n">
        <f aca="false">IFERROR(IF(D24=0,0,D23/D24),"")</f>
        <v>0</v>
      </c>
      <c r="E25" s="143" t="n">
        <f aca="false">IFERROR(IF(E24=0,0,E23/E24),"")</f>
        <v>0</v>
      </c>
      <c r="F25" s="143" t="n">
        <f aca="false">IFERROR(IF(F24=0,0,F23/F24),"")</f>
        <v>0</v>
      </c>
      <c r="G25" s="143" t="n">
        <f aca="false">IFERROR(IF(G24=0,0,G23/G24),"")</f>
        <v>0</v>
      </c>
    </row>
    <row r="26" customFormat="false" ht="15" hidden="false" customHeight="true" outlineLevel="0" collapsed="false">
      <c r="A26" s="144" t="s">
        <v>26</v>
      </c>
      <c r="B26" s="44"/>
      <c r="C26" s="145" t="n">
        <f aca="false">IFERROR(AVERAGE(C25:G25),"")</f>
        <v>0</v>
      </c>
      <c r="D26" s="145"/>
      <c r="E26" s="145"/>
      <c r="F26" s="145"/>
      <c r="G26" s="145"/>
    </row>
  </sheetData>
  <mergeCells count="3">
    <mergeCell ref="A1:G1"/>
    <mergeCell ref="A2:G2"/>
    <mergeCell ref="C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1"/>
    <col collapsed="false" customWidth="true" hidden="false" outlineLevel="0" max="7" min="3" style="1" width="13"/>
  </cols>
  <sheetData>
    <row r="1" customFormat="false" ht="21.75" hidden="false" customHeight="true" outlineLevel="0" collapsed="false">
      <c r="A1" s="47" t="s">
        <v>425</v>
      </c>
      <c r="B1" s="47"/>
      <c r="C1" s="47"/>
      <c r="D1" s="47"/>
      <c r="E1" s="47"/>
      <c r="F1" s="47"/>
      <c r="G1" s="47"/>
    </row>
    <row r="3" customFormat="false" ht="15" hidden="false" customHeight="true" outlineLevel="0" collapsed="false">
      <c r="A3" s="90" t="s">
        <v>426</v>
      </c>
    </row>
    <row r="4" customFormat="false" ht="15" hidden="false" customHeight="true" outlineLevel="0" collapsed="false">
      <c r="A4" s="28" t="s">
        <v>222</v>
      </c>
      <c r="B4" s="27" t="s">
        <v>285</v>
      </c>
      <c r="C4" s="95" t="s">
        <v>395</v>
      </c>
      <c r="D4" s="96" t="s">
        <v>396</v>
      </c>
      <c r="E4" s="95" t="s">
        <v>397</v>
      </c>
      <c r="F4" s="96" t="s">
        <v>398</v>
      </c>
      <c r="G4" s="95" t="s">
        <v>399</v>
      </c>
    </row>
    <row r="5" customFormat="false" ht="15" hidden="false" customHeight="true" outlineLevel="0" collapsed="false">
      <c r="A5" s="125" t="s">
        <v>427</v>
      </c>
      <c r="B5" s="126"/>
      <c r="C5" s="126"/>
      <c r="D5" s="126"/>
      <c r="E5" s="126"/>
      <c r="F5" s="126"/>
      <c r="G5" s="126"/>
    </row>
    <row r="6" customFormat="false" ht="15" hidden="false" customHeight="true" outlineLevel="0" collapsed="false">
      <c r="A6" s="129" t="s">
        <v>343</v>
      </c>
      <c r="B6" s="83" t="s">
        <v>289</v>
      </c>
      <c r="C6" s="100" t="n">
        <f aca="false">IFERROR('Profitability (Annual)'!$C$9,"")</f>
        <v>0</v>
      </c>
      <c r="D6" s="100" t="n">
        <f aca="false">IFERROR('Profitability (Annual)'!$D$9,"")</f>
        <v>0</v>
      </c>
      <c r="E6" s="100" t="n">
        <f aca="false">IFERROR('Profitability (Annual)'!$E$9,"")</f>
        <v>0</v>
      </c>
      <c r="F6" s="100" t="n">
        <f aca="false">IFERROR('Profitability (Annual)'!$F$9,"")</f>
        <v>0</v>
      </c>
      <c r="G6" s="100" t="n">
        <f aca="false">IFERROR('Profitability (Annual)'!$G$9,"")</f>
        <v>0</v>
      </c>
    </row>
    <row r="7" customFormat="false" ht="15" hidden="false" customHeight="true" outlineLevel="0" collapsed="false">
      <c r="A7" s="127" t="s">
        <v>333</v>
      </c>
      <c r="B7" s="83" t="s">
        <v>289</v>
      </c>
      <c r="C7" s="100" t="n">
        <f aca="false">IFERROR('Profitability (Annual)'!$C$16,"")</f>
        <v>0</v>
      </c>
      <c r="D7" s="100" t="n">
        <f aca="false">IFERROR('Profitability (Annual)'!$D$16,"")</f>
        <v>0</v>
      </c>
      <c r="E7" s="100" t="n">
        <f aca="false">IFERROR('Profitability (Annual)'!$E$16,"")</f>
        <v>0</v>
      </c>
      <c r="F7" s="100" t="n">
        <f aca="false">IFERROR('Profitability (Annual)'!$F$16,"")</f>
        <v>0</v>
      </c>
      <c r="G7" s="100" t="n">
        <f aca="false">IFERROR('Profitability (Annual)'!$G$16,"")</f>
        <v>0</v>
      </c>
    </row>
    <row r="8" customFormat="false" ht="15" hidden="false" customHeight="true" outlineLevel="0" collapsed="false">
      <c r="A8" s="127" t="s">
        <v>309</v>
      </c>
      <c r="B8" s="83" t="s">
        <v>112</v>
      </c>
      <c r="C8" s="116" t="str">
        <f aca="false">IFERROR(C7/C6,"")</f>
        <v/>
      </c>
      <c r="D8" s="116" t="str">
        <f aca="false">IFERROR(D7/D6,"")</f>
        <v/>
      </c>
      <c r="E8" s="116" t="str">
        <f aca="false">IFERROR(E7/E6,"")</f>
        <v/>
      </c>
      <c r="F8" s="116" t="str">
        <f aca="false">IFERROR(F7/F6,"")</f>
        <v/>
      </c>
      <c r="G8" s="116" t="str">
        <f aca="false">IFERROR(G7/G6,"")</f>
        <v/>
      </c>
    </row>
    <row r="9" customFormat="false" ht="15" hidden="false" customHeight="true" outlineLevel="0" collapsed="false">
      <c r="A9" s="129" t="s">
        <v>428</v>
      </c>
      <c r="B9" s="83" t="s">
        <v>289</v>
      </c>
      <c r="C9" s="100" t="n">
        <f aca="false">IFERROR('Profitability (Annual)'!$C$25+'Profitability (Annual)'!$C$29+'Profitability (Annual)'!$C$33,"")</f>
        <v>0</v>
      </c>
      <c r="D9" s="100" t="n">
        <f aca="false">IFERROR('Profitability (Annual)'!$D$25+'Profitability (Annual)'!$D$29+'Profitability (Annual)'!$D$33,"")</f>
        <v>0</v>
      </c>
      <c r="E9" s="100" t="n">
        <f aca="false">IFERROR('Profitability (Annual)'!$E$25+'Profitability (Annual)'!$E$29+'Profitability (Annual)'!$E$33,"")</f>
        <v>0</v>
      </c>
      <c r="F9" s="100" t="n">
        <f aca="false">IFERROR('Profitability (Annual)'!$F$25+'Profitability (Annual)'!$F$29+'Profitability (Annual)'!$F$33,"")</f>
        <v>0</v>
      </c>
      <c r="G9" s="100" t="n">
        <f aca="false">IFERROR('Profitability (Annual)'!$G$25+'Profitability (Annual)'!$G$29+'Profitability (Annual)'!$G$33,"")</f>
        <v>0</v>
      </c>
    </row>
    <row r="10" customFormat="false" ht="15" hidden="false" customHeight="true" outlineLevel="0" collapsed="false">
      <c r="A10" s="129" t="s">
        <v>429</v>
      </c>
      <c r="B10" s="83" t="s">
        <v>289</v>
      </c>
      <c r="C10" s="146" t="str">
        <f aca="false">IFERROR(C9/C8,"")</f>
        <v/>
      </c>
      <c r="D10" s="146" t="str">
        <f aca="false">IFERROR(D9/D8,"")</f>
        <v/>
      </c>
      <c r="E10" s="146" t="str">
        <f aca="false">IFERROR(E9/E8,"")</f>
        <v/>
      </c>
      <c r="F10" s="146" t="str">
        <f aca="false">IFERROR(F9/F8,"")</f>
        <v/>
      </c>
      <c r="G10" s="146" t="str">
        <f aca="false">IFERROR(G9/G8,"")</f>
        <v/>
      </c>
    </row>
    <row r="11" customFormat="false" ht="15" hidden="false" customHeight="true" outlineLevel="0" collapsed="false">
      <c r="A11" s="127" t="s">
        <v>430</v>
      </c>
      <c r="B11" s="83" t="s">
        <v>112</v>
      </c>
      <c r="C11" s="116" t="str">
        <f aca="false">IFERROR(C10/C6,"")</f>
        <v/>
      </c>
      <c r="D11" s="116" t="str">
        <f aca="false">IFERROR(D10/D6,"")</f>
        <v/>
      </c>
      <c r="E11" s="116" t="str">
        <f aca="false">IFERROR(E10/E6,"")</f>
        <v/>
      </c>
      <c r="F11" s="116" t="str">
        <f aca="false">IFERROR(F10/F6,"")</f>
        <v/>
      </c>
      <c r="G11" s="116" t="str">
        <f aca="false">IFERROR(G10/G6,"")</f>
        <v/>
      </c>
    </row>
    <row r="12" customFormat="false" ht="15" hidden="false" customHeight="true" outlineLevel="0" collapsed="false">
      <c r="A12" s="127" t="s">
        <v>431</v>
      </c>
      <c r="B12" s="83" t="s">
        <v>112</v>
      </c>
      <c r="C12" s="147" t="str">
        <f aca="false">IFERROR(1-C11,"")</f>
        <v/>
      </c>
      <c r="D12" s="147" t="str">
        <f aca="false">IFERROR(1-D11,"")</f>
        <v/>
      </c>
      <c r="E12" s="147" t="str">
        <f aca="false">IFERROR(1-E11,"")</f>
        <v/>
      </c>
      <c r="F12" s="147" t="str">
        <f aca="false">IFERROR(1-F11,"")</f>
        <v/>
      </c>
      <c r="G12" s="147" t="str">
        <f aca="false">IFERROR(1-G11,"")</f>
        <v/>
      </c>
    </row>
    <row r="13" customFormat="false" ht="15" hidden="false" customHeight="true" outlineLevel="0" collapsed="false">
      <c r="A13" s="127" t="s">
        <v>432</v>
      </c>
      <c r="B13" s="83" t="s">
        <v>289</v>
      </c>
      <c r="C13" s="100" t="str">
        <f aca="false">IFERROR(('Profitability (Annual)'!$C$25+'Profitability (Annual)'!$C$33)/C8,"")</f>
        <v/>
      </c>
      <c r="D13" s="100" t="str">
        <f aca="false">IFERROR(('Profitability (Annual)'!$D$25+'Profitability (Annual)'!$D$33)/D8,"")</f>
        <v/>
      </c>
      <c r="E13" s="100" t="str">
        <f aca="false">IFERROR(('Profitability (Annual)'!$E$25+'Profitability (Annual)'!$E$33)/E8,"")</f>
        <v/>
      </c>
      <c r="F13" s="100" t="str">
        <f aca="false">IFERROR(('Profitability (Annual)'!$F$25+'Profitability (Annual)'!$F$33)/F8,"")</f>
        <v/>
      </c>
      <c r="G13" s="100" t="str">
        <f aca="false">IFERROR(('Profitability (Annual)'!$G$25+'Profitability (Annual)'!$G$33)/G8,"")</f>
        <v/>
      </c>
    </row>
    <row r="15" customFormat="false" ht="15" hidden="false" customHeight="true" outlineLevel="0" collapsed="false">
      <c r="A15" s="125" t="s">
        <v>433</v>
      </c>
      <c r="B15" s="125"/>
      <c r="C15" s="125"/>
      <c r="D15" s="125"/>
      <c r="E15" s="125"/>
      <c r="F15" s="125"/>
      <c r="G15" s="125"/>
    </row>
    <row r="16" customFormat="false" ht="15" hidden="false" customHeight="true" outlineLevel="0" collapsed="false">
      <c r="A16" s="148" t="s">
        <v>434</v>
      </c>
      <c r="B16" s="44"/>
      <c r="C16" s="95" t="s">
        <v>435</v>
      </c>
      <c r="D16" s="95" t="s">
        <v>436</v>
      </c>
      <c r="E16" s="96" t="s">
        <v>437</v>
      </c>
      <c r="F16" s="95" t="s">
        <v>438</v>
      </c>
      <c r="G16" s="95" t="s">
        <v>439</v>
      </c>
    </row>
    <row r="17" customFormat="false" ht="15" hidden="false" customHeight="true" outlineLevel="0" collapsed="false">
      <c r="A17" s="127" t="s">
        <v>440</v>
      </c>
      <c r="B17" s="83" t="s">
        <v>289</v>
      </c>
      <c r="C17" s="100" t="n">
        <f aca="false">IFERROR('Profitability (Annual)'!$E$9*(1+-0.1)-'Profitability (Annual)'!$E$15-('Profitability (Annual)'!$E$25+'Profitability (Annual)'!$E$29+'Profitability (Annual)'!$E$33),"")</f>
        <v>0</v>
      </c>
      <c r="D17" s="100" t="n">
        <f aca="false">IFERROR('Profitability (Annual)'!$E$9*(1+-0.05)-'Profitability (Annual)'!$E$15-('Profitability (Annual)'!$E$25+'Profitability (Annual)'!$E$29+'Profitability (Annual)'!$E$33),"")</f>
        <v>0</v>
      </c>
      <c r="E17" s="131" t="n">
        <f aca="false">IFERROR('Profitability (Annual)'!$E$9*(1+0)-'Profitability (Annual)'!$E$15-('Profitability (Annual)'!$E$25+'Profitability (Annual)'!$E$29+'Profitability (Annual)'!$E$33),"")</f>
        <v>0</v>
      </c>
      <c r="F17" s="100" t="n">
        <f aca="false">IFERROR('Profitability (Annual)'!$E$9*(1+0.05)-'Profitability (Annual)'!$E$15-('Profitability (Annual)'!$E$25+'Profitability (Annual)'!$E$29+'Profitability (Annual)'!$E$33),"")</f>
        <v>0</v>
      </c>
      <c r="G17" s="100" t="n">
        <f aca="false">IFERROR('Profitability (Annual)'!$E$9*(1+0.1)-'Profitability (Annual)'!$E$15-('Profitability (Annual)'!$E$25+'Profitability (Annual)'!$E$29+'Profitability (Annual)'!$E$33),"")</f>
        <v>0</v>
      </c>
    </row>
    <row r="18" customFormat="false" ht="15" hidden="false" customHeight="true" outlineLevel="0" collapsed="false">
      <c r="A18" s="127" t="str">
        <f aca="false">IFERROR(INDEX('Industry Labels'!$C$26:$Z$26,MATCH(Assumptions!$B$3,'Industry Labels'!$C$4:$Z$4,0)),"Direct cost")&amp;" change → PBT"</f>
        <v>Direct cost change → PBT</v>
      </c>
      <c r="B18" s="83" t="s">
        <v>289</v>
      </c>
      <c r="C18" s="100" t="n">
        <f aca="false">IFERROR('Profitability (Annual)'!$E$9-('Profitability (Annual)'!$E$15+SUM('Profitability (Monthly)'!AA10:AL10)*-0.1)-('Profitability (Annual)'!$E$25+'Profitability (Annual)'!$E$29+'Profitability (Annual)'!$E$33),"")</f>
        <v>0</v>
      </c>
      <c r="D18" s="100" t="n">
        <f aca="false">IFERROR('Profitability (Annual)'!$E$9-('Profitability (Annual)'!$E$15+SUM('Profitability (Monthly)'!AA10:AL10)*-0.05)-('Profitability (Annual)'!$E$25+'Profitability (Annual)'!$E$29+'Profitability (Annual)'!$E$33),"")</f>
        <v>0</v>
      </c>
      <c r="E18" s="131" t="n">
        <f aca="false">IFERROR('Profitability (Annual)'!$E$9-('Profitability (Annual)'!$E$15+SUM('Profitability (Monthly)'!AA10:AL10)*0)-('Profitability (Annual)'!$E$25+'Profitability (Annual)'!$E$29+'Profitability (Annual)'!$E$33),"")</f>
        <v>0</v>
      </c>
      <c r="F18" s="100" t="n">
        <f aca="false">IFERROR('Profitability (Annual)'!$E$9-('Profitability (Annual)'!$E$15+SUM('Profitability (Monthly)'!AA10:AL10)*0.05)-('Profitability (Annual)'!$E$25+'Profitability (Annual)'!$E$29+'Profitability (Annual)'!$E$33),"")</f>
        <v>0</v>
      </c>
      <c r="G18" s="100" t="n">
        <f aca="false">IFERROR('Profitability (Annual)'!$E$9-('Profitability (Annual)'!$E$15+SUM('Profitability (Monthly)'!AA10:AL10)*0.1)-('Profitability (Annual)'!$E$25+'Profitability (Annual)'!$E$29+'Profitability (Annual)'!$E$33),"")</f>
        <v>0</v>
      </c>
    </row>
    <row r="19" customFormat="false" ht="15" hidden="false" customHeight="true" outlineLevel="0" collapsed="false">
      <c r="A19" s="127" t="s">
        <v>441</v>
      </c>
      <c r="B19" s="83" t="s">
        <v>289</v>
      </c>
      <c r="C19" s="100" t="n">
        <f aca="false">IFERROR('Profitability (Annual)'!$E$9*(1+-0.1)-'Profitability (Annual)'!$E$15*(1+-0.1)-('Profitability (Annual)'!$E$25+'Profitability (Annual)'!$E$29+'Profitability (Annual)'!$E$33),"")</f>
        <v>0</v>
      </c>
      <c r="D19" s="100" t="n">
        <f aca="false">IFERROR('Profitability (Annual)'!$E$9*(1+-0.05)-'Profitability (Annual)'!$E$15*(1+-0.05)-('Profitability (Annual)'!$E$25+'Profitability (Annual)'!$E$29+'Profitability (Annual)'!$E$33),"")</f>
        <v>0</v>
      </c>
      <c r="E19" s="131" t="n">
        <f aca="false">IFERROR('Profitability (Annual)'!$E$9*(1+0)-'Profitability (Annual)'!$E$15*(1+0)-('Profitability (Annual)'!$E$25+'Profitability (Annual)'!$E$29+'Profitability (Annual)'!$E$33),"")</f>
        <v>0</v>
      </c>
      <c r="F19" s="100" t="n">
        <f aca="false">IFERROR('Profitability (Annual)'!$E$9*(1+0.05)-'Profitability (Annual)'!$E$15*(1+0.05)-('Profitability (Annual)'!$E$25+'Profitability (Annual)'!$E$29+'Profitability (Annual)'!$E$33),"")</f>
        <v>0</v>
      </c>
      <c r="G19" s="100" t="n">
        <f aca="false">IFERROR('Profitability (Annual)'!$E$9*(1+0.1)-'Profitability (Annual)'!$E$15*(1+0.1)-('Profitability (Annual)'!$E$25+'Profitability (Annual)'!$E$29+'Profitability (Annual)'!$E$33),"")</f>
        <v>0</v>
      </c>
    </row>
    <row r="21" customFormat="false" ht="15" hidden="false" customHeight="true" outlineLevel="0" collapsed="false">
      <c r="A21" s="110" t="s">
        <v>442</v>
      </c>
    </row>
  </sheetData>
  <mergeCells count="2">
    <mergeCell ref="A1:G1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P30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0"/>
    <col collapsed="false" customWidth="true" hidden="false" outlineLevel="0" max="16" min="3" style="1" width="26"/>
  </cols>
  <sheetData>
    <row r="1" customFormat="false" ht="15" hidden="false" customHeight="true" outlineLevel="0" collapsed="false">
      <c r="A1" s="149" t="s">
        <v>443</v>
      </c>
    </row>
    <row r="2" customFormat="false" ht="15" hidden="false" customHeight="true" outlineLevel="0" collapsed="false">
      <c r="A2" s="51" t="s">
        <v>444</v>
      </c>
    </row>
    <row r="4" customFormat="false" ht="31.5" hidden="false" customHeight="true" outlineLevel="0" collapsed="false">
      <c r="A4" s="150" t="s">
        <v>445</v>
      </c>
      <c r="B4" s="150" t="s">
        <v>446</v>
      </c>
      <c r="C4" s="150" t="s">
        <v>92</v>
      </c>
      <c r="D4" s="150" t="s">
        <v>447</v>
      </c>
      <c r="E4" s="150" t="s">
        <v>448</v>
      </c>
      <c r="F4" s="150" t="s">
        <v>449</v>
      </c>
      <c r="G4" s="150" t="s">
        <v>450</v>
      </c>
      <c r="H4" s="150" t="s">
        <v>451</v>
      </c>
      <c r="I4" s="150" t="s">
        <v>452</v>
      </c>
      <c r="J4" s="150" t="s">
        <v>453</v>
      </c>
      <c r="K4" s="150" t="s">
        <v>454</v>
      </c>
      <c r="L4" s="150" t="s">
        <v>455</v>
      </c>
      <c r="M4" s="150" t="s">
        <v>456</v>
      </c>
      <c r="N4" s="150" t="s">
        <v>457</v>
      </c>
      <c r="O4" s="150" t="s">
        <v>458</v>
      </c>
      <c r="P4" s="150" t="s">
        <v>459</v>
      </c>
    </row>
    <row r="5" customFormat="false" ht="21.75" hidden="false" customHeight="true" outlineLevel="0" collapsed="false">
      <c r="A5" s="151" t="s">
        <v>460</v>
      </c>
      <c r="B5" s="152" t="s">
        <v>461</v>
      </c>
      <c r="C5" s="153" t="s">
        <v>462</v>
      </c>
      <c r="D5" s="153" t="s">
        <v>463</v>
      </c>
      <c r="E5" s="153" t="s">
        <v>464</v>
      </c>
      <c r="F5" s="153" t="s">
        <v>465</v>
      </c>
      <c r="G5" s="153" t="s">
        <v>466</v>
      </c>
      <c r="H5" s="153" t="s">
        <v>467</v>
      </c>
      <c r="I5" s="153" t="s">
        <v>468</v>
      </c>
      <c r="J5" s="153" t="s">
        <v>469</v>
      </c>
      <c r="K5" s="153" t="s">
        <v>470</v>
      </c>
      <c r="L5" s="153" t="s">
        <v>471</v>
      </c>
      <c r="M5" s="153" t="s">
        <v>472</v>
      </c>
      <c r="N5" s="153" t="s">
        <v>473</v>
      </c>
      <c r="O5" s="153" t="s">
        <v>474</v>
      </c>
      <c r="P5" s="153" t="s">
        <v>462</v>
      </c>
    </row>
    <row r="6" customFormat="false" ht="15" hidden="false" customHeight="true" outlineLevel="0" collapsed="false">
      <c r="A6" s="151" t="s">
        <v>475</v>
      </c>
      <c r="B6" s="152" t="s">
        <v>476</v>
      </c>
      <c r="C6" s="153" t="s">
        <v>477</v>
      </c>
      <c r="D6" s="153" t="s">
        <v>477</v>
      </c>
      <c r="E6" s="153" t="s">
        <v>478</v>
      </c>
      <c r="F6" s="153" t="s">
        <v>479</v>
      </c>
      <c r="G6" s="153" t="s">
        <v>480</v>
      </c>
      <c r="H6" s="153" t="s">
        <v>481</v>
      </c>
      <c r="I6" s="153" t="s">
        <v>482</v>
      </c>
      <c r="J6" s="153" t="s">
        <v>483</v>
      </c>
      <c r="K6" s="153" t="s">
        <v>477</v>
      </c>
      <c r="L6" s="153" t="s">
        <v>484</v>
      </c>
      <c r="M6" s="153" t="s">
        <v>477</v>
      </c>
      <c r="N6" s="153" t="s">
        <v>485</v>
      </c>
      <c r="O6" s="153" t="s">
        <v>486</v>
      </c>
      <c r="P6" s="153" t="s">
        <v>477</v>
      </c>
    </row>
    <row r="7" customFormat="false" ht="15" hidden="false" customHeight="true" outlineLevel="0" collapsed="false">
      <c r="A7" s="151" t="s">
        <v>487</v>
      </c>
      <c r="B7" s="152" t="s">
        <v>488</v>
      </c>
      <c r="C7" s="153" t="s">
        <v>489</v>
      </c>
      <c r="D7" s="153" t="s">
        <v>489</v>
      </c>
      <c r="E7" s="153" t="s">
        <v>490</v>
      </c>
      <c r="F7" s="153" t="s">
        <v>491</v>
      </c>
      <c r="G7" s="153" t="s">
        <v>492</v>
      </c>
      <c r="H7" s="153" t="s">
        <v>493</v>
      </c>
      <c r="I7" s="153" t="s">
        <v>494</v>
      </c>
      <c r="J7" s="153" t="s">
        <v>495</v>
      </c>
      <c r="K7" s="153" t="s">
        <v>496</v>
      </c>
      <c r="L7" s="153" t="s">
        <v>497</v>
      </c>
      <c r="M7" s="153" t="s">
        <v>498</v>
      </c>
      <c r="N7" s="153" t="s">
        <v>499</v>
      </c>
      <c r="O7" s="153" t="s">
        <v>500</v>
      </c>
      <c r="P7" s="153" t="s">
        <v>489</v>
      </c>
    </row>
    <row r="8" customFormat="false" ht="15" hidden="false" customHeight="true" outlineLevel="0" collapsed="false">
      <c r="A8" s="151" t="s">
        <v>501</v>
      </c>
      <c r="B8" s="152" t="s">
        <v>502</v>
      </c>
      <c r="C8" s="153" t="s">
        <v>503</v>
      </c>
      <c r="D8" s="153" t="s">
        <v>503</v>
      </c>
      <c r="E8" s="153" t="s">
        <v>504</v>
      </c>
      <c r="F8" s="153" t="s">
        <v>505</v>
      </c>
      <c r="G8" s="153" t="s">
        <v>506</v>
      </c>
      <c r="H8" s="153" t="s">
        <v>507</v>
      </c>
      <c r="I8" s="153" t="s">
        <v>508</v>
      </c>
      <c r="J8" s="153" t="s">
        <v>509</v>
      </c>
      <c r="K8" s="153" t="s">
        <v>503</v>
      </c>
      <c r="L8" s="153" t="s">
        <v>510</v>
      </c>
      <c r="M8" s="153" t="s">
        <v>503</v>
      </c>
      <c r="N8" s="153" t="s">
        <v>503</v>
      </c>
      <c r="O8" s="153" t="s">
        <v>500</v>
      </c>
      <c r="P8" s="153" t="s">
        <v>503</v>
      </c>
    </row>
    <row r="9" customFormat="false" ht="21.75" hidden="false" customHeight="true" outlineLevel="0" collapsed="false">
      <c r="A9" s="151" t="s">
        <v>511</v>
      </c>
      <c r="B9" s="152" t="s">
        <v>512</v>
      </c>
      <c r="C9" s="153" t="s">
        <v>513</v>
      </c>
      <c r="D9" s="153" t="s">
        <v>514</v>
      </c>
      <c r="E9" s="153" t="s">
        <v>515</v>
      </c>
      <c r="F9" s="153" t="s">
        <v>516</v>
      </c>
      <c r="G9" s="153" t="s">
        <v>517</v>
      </c>
      <c r="H9" s="153" t="s">
        <v>518</v>
      </c>
      <c r="I9" s="153" t="s">
        <v>519</v>
      </c>
      <c r="J9" s="153" t="s">
        <v>520</v>
      </c>
      <c r="K9" s="153" t="s">
        <v>521</v>
      </c>
      <c r="L9" s="153" t="s">
        <v>522</v>
      </c>
      <c r="M9" s="153" t="s">
        <v>523</v>
      </c>
      <c r="N9" s="153" t="s">
        <v>524</v>
      </c>
      <c r="O9" s="153" t="s">
        <v>525</v>
      </c>
      <c r="P9" s="153" t="s">
        <v>513</v>
      </c>
    </row>
    <row r="10" customFormat="false" ht="21.75" hidden="false" customHeight="true" outlineLevel="0" collapsed="false">
      <c r="A10" s="151" t="s">
        <v>526</v>
      </c>
      <c r="B10" s="152" t="s">
        <v>527</v>
      </c>
      <c r="C10" s="153" t="s">
        <v>528</v>
      </c>
      <c r="D10" s="153" t="s">
        <v>529</v>
      </c>
      <c r="E10" s="153" t="s">
        <v>530</v>
      </c>
      <c r="F10" s="153" t="s">
        <v>531</v>
      </c>
      <c r="G10" s="153" t="s">
        <v>532</v>
      </c>
      <c r="H10" s="153" t="s">
        <v>533</v>
      </c>
      <c r="I10" s="153" t="s">
        <v>534</v>
      </c>
      <c r="J10" s="153" t="s">
        <v>535</v>
      </c>
      <c r="K10" s="153" t="s">
        <v>536</v>
      </c>
      <c r="L10" s="153" t="s">
        <v>537</v>
      </c>
      <c r="M10" s="153" t="s">
        <v>538</v>
      </c>
      <c r="N10" s="153" t="s">
        <v>539</v>
      </c>
      <c r="O10" s="153" t="s">
        <v>540</v>
      </c>
      <c r="P10" s="153" t="s">
        <v>528</v>
      </c>
    </row>
    <row r="11" customFormat="false" ht="21.75" hidden="false" customHeight="true" outlineLevel="0" collapsed="false">
      <c r="A11" s="151" t="s">
        <v>541</v>
      </c>
      <c r="B11" s="152" t="s">
        <v>542</v>
      </c>
      <c r="C11" s="153" t="s">
        <v>543</v>
      </c>
      <c r="D11" s="153" t="s">
        <v>544</v>
      </c>
      <c r="E11" s="153" t="s">
        <v>545</v>
      </c>
      <c r="F11" s="153" t="s">
        <v>546</v>
      </c>
      <c r="G11" s="153" t="s">
        <v>547</v>
      </c>
      <c r="H11" s="153" t="s">
        <v>548</v>
      </c>
      <c r="I11" s="153" t="s">
        <v>549</v>
      </c>
      <c r="J11" s="153" t="s">
        <v>550</v>
      </c>
      <c r="K11" s="153" t="s">
        <v>551</v>
      </c>
      <c r="L11" s="153" t="s">
        <v>552</v>
      </c>
      <c r="M11" s="153" t="s">
        <v>553</v>
      </c>
      <c r="N11" s="153" t="s">
        <v>554</v>
      </c>
      <c r="O11" s="153" t="s">
        <v>555</v>
      </c>
      <c r="P11" s="153" t="s">
        <v>543</v>
      </c>
    </row>
    <row r="12" customFormat="false" ht="21.75" hidden="false" customHeight="true" outlineLevel="0" collapsed="false">
      <c r="A12" s="151" t="s">
        <v>556</v>
      </c>
      <c r="B12" s="152" t="s">
        <v>557</v>
      </c>
      <c r="C12" s="153" t="s">
        <v>558</v>
      </c>
      <c r="D12" s="153" t="s">
        <v>559</v>
      </c>
      <c r="E12" s="153" t="s">
        <v>560</v>
      </c>
      <c r="F12" s="153" t="s">
        <v>561</v>
      </c>
      <c r="G12" s="153" t="s">
        <v>562</v>
      </c>
      <c r="H12" s="153" t="s">
        <v>563</v>
      </c>
      <c r="I12" s="153" t="s">
        <v>564</v>
      </c>
      <c r="J12" s="153" t="s">
        <v>565</v>
      </c>
      <c r="K12" s="153" t="s">
        <v>566</v>
      </c>
      <c r="L12" s="153" t="s">
        <v>567</v>
      </c>
      <c r="M12" s="153" t="s">
        <v>568</v>
      </c>
      <c r="N12" s="153" t="s">
        <v>569</v>
      </c>
      <c r="O12" s="153" t="s">
        <v>570</v>
      </c>
      <c r="P12" s="153" t="s">
        <v>558</v>
      </c>
    </row>
    <row r="13" customFormat="false" ht="21.75" hidden="false" customHeight="true" outlineLevel="0" collapsed="false">
      <c r="A13" s="151" t="s">
        <v>571</v>
      </c>
      <c r="B13" s="152" t="s">
        <v>572</v>
      </c>
      <c r="C13" s="153" t="s">
        <v>573</v>
      </c>
      <c r="D13" s="153" t="s">
        <v>574</v>
      </c>
      <c r="E13" s="153" t="s">
        <v>575</v>
      </c>
      <c r="F13" s="153" t="s">
        <v>576</v>
      </c>
      <c r="G13" s="153" t="s">
        <v>577</v>
      </c>
      <c r="H13" s="153" t="s">
        <v>578</v>
      </c>
      <c r="I13" s="153" t="s">
        <v>579</v>
      </c>
      <c r="J13" s="153" t="s">
        <v>580</v>
      </c>
      <c r="K13" s="153" t="s">
        <v>581</v>
      </c>
      <c r="L13" s="153" t="s">
        <v>582</v>
      </c>
      <c r="M13" s="153" t="s">
        <v>583</v>
      </c>
      <c r="N13" s="153" t="s">
        <v>584</v>
      </c>
      <c r="O13" s="153" t="s">
        <v>585</v>
      </c>
      <c r="P13" s="153" t="s">
        <v>573</v>
      </c>
    </row>
    <row r="14" customFormat="false" ht="21.75" hidden="false" customHeight="true" outlineLevel="0" collapsed="false">
      <c r="A14" s="151" t="s">
        <v>586</v>
      </c>
      <c r="B14" s="152" t="s">
        <v>587</v>
      </c>
      <c r="C14" s="153" t="s">
        <v>588</v>
      </c>
      <c r="D14" s="153" t="s">
        <v>588</v>
      </c>
      <c r="E14" s="153" t="s">
        <v>589</v>
      </c>
      <c r="F14" s="153" t="s">
        <v>590</v>
      </c>
      <c r="G14" s="153" t="s">
        <v>591</v>
      </c>
      <c r="H14" s="153" t="s">
        <v>592</v>
      </c>
      <c r="I14" s="153" t="s">
        <v>593</v>
      </c>
      <c r="J14" s="153" t="s">
        <v>594</v>
      </c>
      <c r="K14" s="153" t="s">
        <v>595</v>
      </c>
      <c r="L14" s="153" t="s">
        <v>596</v>
      </c>
      <c r="M14" s="153" t="s">
        <v>597</v>
      </c>
      <c r="N14" s="153" t="s">
        <v>598</v>
      </c>
      <c r="O14" s="153" t="s">
        <v>599</v>
      </c>
      <c r="P14" s="153" t="s">
        <v>588</v>
      </c>
    </row>
    <row r="15" customFormat="false" ht="21.75" hidden="false" customHeight="true" outlineLevel="0" collapsed="false">
      <c r="A15" s="151" t="s">
        <v>600</v>
      </c>
      <c r="B15" s="152" t="s">
        <v>601</v>
      </c>
      <c r="C15" s="153" t="s">
        <v>602</v>
      </c>
      <c r="D15" s="153" t="s">
        <v>603</v>
      </c>
      <c r="E15" s="153" t="s">
        <v>604</v>
      </c>
      <c r="F15" s="153" t="s">
        <v>605</v>
      </c>
      <c r="G15" s="153" t="s">
        <v>606</v>
      </c>
      <c r="H15" s="153" t="s">
        <v>607</v>
      </c>
      <c r="I15" s="153" t="s">
        <v>608</v>
      </c>
      <c r="J15" s="153" t="s">
        <v>609</v>
      </c>
      <c r="K15" s="153" t="s">
        <v>610</v>
      </c>
      <c r="L15" s="153" t="s">
        <v>611</v>
      </c>
      <c r="M15" s="153" t="s">
        <v>612</v>
      </c>
      <c r="N15" s="153" t="s">
        <v>613</v>
      </c>
      <c r="O15" s="153" t="s">
        <v>614</v>
      </c>
      <c r="P15" s="153" t="s">
        <v>602</v>
      </c>
    </row>
    <row r="16" customFormat="false" ht="21.75" hidden="false" customHeight="true" outlineLevel="0" collapsed="false">
      <c r="A16" s="151" t="s">
        <v>615</v>
      </c>
      <c r="B16" s="152" t="s">
        <v>601</v>
      </c>
      <c r="C16" s="153" t="s">
        <v>616</v>
      </c>
      <c r="D16" s="153" t="s">
        <v>617</v>
      </c>
      <c r="E16" s="153" t="s">
        <v>618</v>
      </c>
      <c r="F16" s="153" t="s">
        <v>619</v>
      </c>
      <c r="G16" s="153" t="s">
        <v>620</v>
      </c>
      <c r="H16" s="153" t="s">
        <v>621</v>
      </c>
      <c r="I16" s="153" t="s">
        <v>622</v>
      </c>
      <c r="J16" s="153" t="s">
        <v>623</v>
      </c>
      <c r="K16" s="153" t="s">
        <v>624</v>
      </c>
      <c r="L16" s="153" t="s">
        <v>625</v>
      </c>
      <c r="M16" s="153" t="s">
        <v>626</v>
      </c>
      <c r="N16" s="153" t="s">
        <v>627</v>
      </c>
      <c r="O16" s="153" t="s">
        <v>628</v>
      </c>
      <c r="P16" s="153" t="s">
        <v>616</v>
      </c>
    </row>
    <row r="17" customFormat="false" ht="15" hidden="false" customHeight="true" outlineLevel="0" collapsed="false">
      <c r="A17" s="151" t="s">
        <v>629</v>
      </c>
      <c r="B17" s="152" t="s">
        <v>630</v>
      </c>
      <c r="C17" s="153" t="s">
        <v>631</v>
      </c>
      <c r="D17" s="153" t="s">
        <v>632</v>
      </c>
      <c r="E17" s="153" t="s">
        <v>633</v>
      </c>
      <c r="F17" s="153" t="s">
        <v>634</v>
      </c>
      <c r="G17" s="153" t="s">
        <v>635</v>
      </c>
      <c r="H17" s="153" t="s">
        <v>636</v>
      </c>
      <c r="I17" s="153" t="s">
        <v>637</v>
      </c>
      <c r="J17" s="153" t="s">
        <v>638</v>
      </c>
      <c r="K17" s="153" t="s">
        <v>639</v>
      </c>
      <c r="L17" s="153" t="s">
        <v>640</v>
      </c>
      <c r="M17" s="153" t="s">
        <v>641</v>
      </c>
      <c r="N17" s="153" t="s">
        <v>642</v>
      </c>
      <c r="O17" s="153" t="s">
        <v>643</v>
      </c>
      <c r="P17" s="153" t="s">
        <v>631</v>
      </c>
    </row>
    <row r="18" customFormat="false" ht="21.75" hidden="false" customHeight="true" outlineLevel="0" collapsed="false">
      <c r="A18" s="151" t="s">
        <v>644</v>
      </c>
      <c r="B18" s="152" t="s">
        <v>630</v>
      </c>
      <c r="C18" s="153" t="s">
        <v>645</v>
      </c>
      <c r="D18" s="153" t="s">
        <v>646</v>
      </c>
      <c r="E18" s="153" t="s">
        <v>647</v>
      </c>
      <c r="F18" s="153" t="s">
        <v>648</v>
      </c>
      <c r="G18" s="153" t="s">
        <v>649</v>
      </c>
      <c r="H18" s="153" t="s">
        <v>650</v>
      </c>
      <c r="I18" s="153" t="s">
        <v>651</v>
      </c>
      <c r="J18" s="153" t="s">
        <v>652</v>
      </c>
      <c r="K18" s="153" t="s">
        <v>653</v>
      </c>
      <c r="L18" s="153" t="s">
        <v>652</v>
      </c>
      <c r="M18" s="153" t="s">
        <v>654</v>
      </c>
      <c r="N18" s="153" t="s">
        <v>655</v>
      </c>
      <c r="O18" s="153" t="s">
        <v>652</v>
      </c>
      <c r="P18" s="153" t="s">
        <v>645</v>
      </c>
    </row>
    <row r="19" customFormat="false" ht="15" hidden="false" customHeight="true" outlineLevel="0" collapsed="false">
      <c r="A19" s="151" t="s">
        <v>656</v>
      </c>
      <c r="B19" s="152" t="s">
        <v>71</v>
      </c>
      <c r="C19" s="153" t="s">
        <v>657</v>
      </c>
      <c r="D19" s="153" t="s">
        <v>658</v>
      </c>
      <c r="E19" s="153" t="s">
        <v>657</v>
      </c>
      <c r="F19" s="153" t="s">
        <v>657</v>
      </c>
      <c r="G19" s="153" t="s">
        <v>657</v>
      </c>
      <c r="H19" s="153" t="s">
        <v>659</v>
      </c>
      <c r="I19" s="153" t="s">
        <v>657</v>
      </c>
      <c r="J19" s="153" t="s">
        <v>659</v>
      </c>
      <c r="K19" s="153" t="s">
        <v>657</v>
      </c>
      <c r="L19" s="153" t="s">
        <v>660</v>
      </c>
      <c r="M19" s="153" t="s">
        <v>659</v>
      </c>
      <c r="N19" s="153" t="s">
        <v>661</v>
      </c>
      <c r="O19" s="153" t="s">
        <v>662</v>
      </c>
      <c r="P19" s="153" t="s">
        <v>657</v>
      </c>
    </row>
    <row r="20" customFormat="false" ht="15" hidden="false" customHeight="true" outlineLevel="0" collapsed="false">
      <c r="A20" s="151" t="s">
        <v>663</v>
      </c>
      <c r="B20" s="152" t="s">
        <v>664</v>
      </c>
      <c r="C20" s="153" t="s">
        <v>665</v>
      </c>
      <c r="D20" s="153" t="s">
        <v>666</v>
      </c>
      <c r="E20" s="153" t="s">
        <v>665</v>
      </c>
      <c r="F20" s="153" t="s">
        <v>665</v>
      </c>
      <c r="G20" s="153" t="s">
        <v>665</v>
      </c>
      <c r="H20" s="153" t="s">
        <v>665</v>
      </c>
      <c r="I20" s="153" t="s">
        <v>665</v>
      </c>
      <c r="J20" s="153" t="s">
        <v>665</v>
      </c>
      <c r="K20" s="153" t="s">
        <v>665</v>
      </c>
      <c r="L20" s="153" t="s">
        <v>665</v>
      </c>
      <c r="M20" s="153" t="s">
        <v>665</v>
      </c>
      <c r="N20" s="153" t="s">
        <v>665</v>
      </c>
      <c r="O20" s="153" t="s">
        <v>665</v>
      </c>
      <c r="P20" s="153" t="s">
        <v>665</v>
      </c>
    </row>
    <row r="21" customFormat="false" ht="15" hidden="false" customHeight="true" outlineLevel="0" collapsed="false">
      <c r="A21" s="151" t="s">
        <v>667</v>
      </c>
      <c r="B21" s="152" t="s">
        <v>668</v>
      </c>
      <c r="C21" s="153" t="s">
        <v>669</v>
      </c>
      <c r="D21" s="153" t="s">
        <v>670</v>
      </c>
      <c r="E21" s="153" t="s">
        <v>671</v>
      </c>
      <c r="F21" s="153" t="s">
        <v>672</v>
      </c>
      <c r="G21" s="153" t="s">
        <v>673</v>
      </c>
      <c r="H21" s="153" t="s">
        <v>674</v>
      </c>
      <c r="I21" s="153" t="s">
        <v>675</v>
      </c>
      <c r="J21" s="153" t="s">
        <v>676</v>
      </c>
      <c r="K21" s="153" t="s">
        <v>677</v>
      </c>
      <c r="L21" s="153" t="s">
        <v>678</v>
      </c>
      <c r="M21" s="153" t="s">
        <v>679</v>
      </c>
      <c r="N21" s="153" t="s">
        <v>680</v>
      </c>
      <c r="O21" s="153" t="s">
        <v>681</v>
      </c>
      <c r="P21" s="153" t="s">
        <v>669</v>
      </c>
    </row>
    <row r="22" customFormat="false" ht="15" hidden="false" customHeight="true" outlineLevel="0" collapsed="false">
      <c r="A22" s="151" t="s">
        <v>682</v>
      </c>
      <c r="B22" s="152" t="s">
        <v>683</v>
      </c>
      <c r="C22" s="153" t="s">
        <v>684</v>
      </c>
      <c r="D22" s="153" t="s">
        <v>685</v>
      </c>
      <c r="E22" s="153" t="s">
        <v>686</v>
      </c>
      <c r="F22" s="153" t="s">
        <v>687</v>
      </c>
      <c r="G22" s="153" t="s">
        <v>688</v>
      </c>
      <c r="H22" s="153" t="s">
        <v>689</v>
      </c>
      <c r="I22" s="153" t="s">
        <v>690</v>
      </c>
      <c r="J22" s="153" t="s">
        <v>691</v>
      </c>
      <c r="K22" s="153" t="s">
        <v>692</v>
      </c>
      <c r="L22" s="153" t="s">
        <v>693</v>
      </c>
      <c r="M22" s="153" t="s">
        <v>694</v>
      </c>
      <c r="N22" s="153" t="s">
        <v>695</v>
      </c>
      <c r="O22" s="153" t="s">
        <v>696</v>
      </c>
      <c r="P22" s="153" t="s">
        <v>684</v>
      </c>
    </row>
    <row r="23" customFormat="false" ht="21.75" hidden="false" customHeight="true" outlineLevel="0" collapsed="false">
      <c r="A23" s="151" t="s">
        <v>697</v>
      </c>
      <c r="B23" s="152" t="s">
        <v>683</v>
      </c>
      <c r="C23" s="153" t="s">
        <v>698</v>
      </c>
      <c r="D23" s="153" t="s">
        <v>699</v>
      </c>
      <c r="E23" s="153" t="s">
        <v>700</v>
      </c>
      <c r="F23" s="153" t="s">
        <v>701</v>
      </c>
      <c r="G23" s="153" t="s">
        <v>702</v>
      </c>
      <c r="H23" s="153" t="s">
        <v>703</v>
      </c>
      <c r="I23" s="153" t="s">
        <v>704</v>
      </c>
      <c r="J23" s="153" t="s">
        <v>705</v>
      </c>
      <c r="K23" s="153" t="s">
        <v>706</v>
      </c>
      <c r="L23" s="153" t="s">
        <v>707</v>
      </c>
      <c r="M23" s="153" t="s">
        <v>708</v>
      </c>
      <c r="N23" s="153" t="s">
        <v>709</v>
      </c>
      <c r="O23" s="153" t="s">
        <v>710</v>
      </c>
      <c r="P23" s="153" t="s">
        <v>698</v>
      </c>
    </row>
    <row r="24" customFormat="false" ht="15" hidden="false" customHeight="true" outlineLevel="0" collapsed="false">
      <c r="A24" s="151" t="s">
        <v>711</v>
      </c>
      <c r="B24" s="152" t="s">
        <v>712</v>
      </c>
      <c r="C24" s="153" t="s">
        <v>713</v>
      </c>
      <c r="D24" s="153" t="s">
        <v>714</v>
      </c>
      <c r="E24" s="153" t="s">
        <v>715</v>
      </c>
      <c r="F24" s="153" t="s">
        <v>715</v>
      </c>
      <c r="G24" s="153" t="s">
        <v>715</v>
      </c>
      <c r="H24" s="153" t="s">
        <v>716</v>
      </c>
      <c r="I24" s="153" t="s">
        <v>715</v>
      </c>
      <c r="J24" s="153" t="s">
        <v>715</v>
      </c>
      <c r="K24" s="153" t="s">
        <v>715</v>
      </c>
      <c r="L24" s="153" t="s">
        <v>717</v>
      </c>
      <c r="M24" s="153" t="s">
        <v>715</v>
      </c>
      <c r="N24" s="153" t="s">
        <v>715</v>
      </c>
      <c r="O24" s="153" t="s">
        <v>718</v>
      </c>
      <c r="P24" s="153" t="s">
        <v>713</v>
      </c>
    </row>
    <row r="25" customFormat="false" ht="15" hidden="false" customHeight="true" outlineLevel="0" collapsed="false">
      <c r="A25" s="151" t="s">
        <v>719</v>
      </c>
      <c r="B25" s="152" t="s">
        <v>720</v>
      </c>
      <c r="C25" s="153" t="s">
        <v>721</v>
      </c>
      <c r="D25" s="153" t="s">
        <v>722</v>
      </c>
      <c r="E25" s="153" t="s">
        <v>721</v>
      </c>
      <c r="F25" s="153" t="s">
        <v>721</v>
      </c>
      <c r="G25" s="153" t="s">
        <v>721</v>
      </c>
      <c r="H25" s="153" t="s">
        <v>723</v>
      </c>
      <c r="I25" s="153" t="s">
        <v>721</v>
      </c>
      <c r="J25" s="153" t="s">
        <v>721</v>
      </c>
      <c r="K25" s="153" t="s">
        <v>721</v>
      </c>
      <c r="L25" s="153" t="s">
        <v>721</v>
      </c>
      <c r="M25" s="153" t="s">
        <v>721</v>
      </c>
      <c r="N25" s="153" t="s">
        <v>722</v>
      </c>
      <c r="O25" s="153" t="s">
        <v>724</v>
      </c>
      <c r="P25" s="153" t="s">
        <v>721</v>
      </c>
    </row>
    <row r="26" customFormat="false" ht="15" hidden="false" customHeight="true" outlineLevel="0" collapsed="false">
      <c r="A26" s="151" t="s">
        <v>725</v>
      </c>
      <c r="B26" s="152" t="s">
        <v>726</v>
      </c>
      <c r="C26" s="153" t="s">
        <v>727</v>
      </c>
      <c r="D26" s="153" t="s">
        <v>728</v>
      </c>
      <c r="E26" s="153" t="s">
        <v>729</v>
      </c>
      <c r="F26" s="153" t="s">
        <v>672</v>
      </c>
      <c r="G26" s="153" t="s">
        <v>730</v>
      </c>
      <c r="H26" s="153" t="s">
        <v>731</v>
      </c>
      <c r="I26" s="153" t="s">
        <v>675</v>
      </c>
      <c r="J26" s="153" t="s">
        <v>732</v>
      </c>
      <c r="K26" s="153" t="s">
        <v>733</v>
      </c>
      <c r="L26" s="153" t="s">
        <v>678</v>
      </c>
      <c r="M26" s="153" t="s">
        <v>734</v>
      </c>
      <c r="N26" s="153" t="s">
        <v>735</v>
      </c>
      <c r="O26" s="153" t="s">
        <v>681</v>
      </c>
      <c r="P26" s="153" t="s">
        <v>727</v>
      </c>
    </row>
    <row r="27" customFormat="false" ht="15" hidden="false" customHeight="false" outlineLevel="0" collapsed="false">
      <c r="A27" s="1" t="s">
        <v>736</v>
      </c>
      <c r="B27" s="1" t="s">
        <v>737</v>
      </c>
      <c r="C27" s="154" t="s">
        <v>738</v>
      </c>
      <c r="D27" s="154" t="s">
        <v>739</v>
      </c>
      <c r="E27" s="154" t="s">
        <v>740</v>
      </c>
      <c r="F27" s="154" t="s">
        <v>741</v>
      </c>
      <c r="G27" s="154" t="s">
        <v>742</v>
      </c>
      <c r="H27" s="154" t="s">
        <v>743</v>
      </c>
      <c r="I27" s="154" t="s">
        <v>744</v>
      </c>
      <c r="J27" s="154" t="s">
        <v>745</v>
      </c>
      <c r="K27" s="154" t="s">
        <v>746</v>
      </c>
      <c r="L27" s="154" t="s">
        <v>747</v>
      </c>
      <c r="M27" s="154" t="s">
        <v>748</v>
      </c>
      <c r="N27" s="154" t="s">
        <v>749</v>
      </c>
      <c r="O27" s="154" t="s">
        <v>750</v>
      </c>
      <c r="P27" s="154" t="s">
        <v>738</v>
      </c>
    </row>
    <row r="28" customFormat="false" ht="15" hidden="false" customHeight="false" outlineLevel="0" collapsed="false">
      <c r="A28" s="1" t="s">
        <v>751</v>
      </c>
      <c r="B28" s="1" t="s">
        <v>737</v>
      </c>
      <c r="C28" s="154" t="s">
        <v>752</v>
      </c>
      <c r="D28" s="154" t="s">
        <v>753</v>
      </c>
      <c r="E28" s="154" t="s">
        <v>754</v>
      </c>
      <c r="F28" s="154" t="s">
        <v>755</v>
      </c>
      <c r="G28" s="154" t="s">
        <v>756</v>
      </c>
      <c r="H28" s="154" t="s">
        <v>757</v>
      </c>
      <c r="I28" s="154" t="s">
        <v>758</v>
      </c>
      <c r="J28" s="154" t="s">
        <v>759</v>
      </c>
      <c r="K28" s="154" t="s">
        <v>760</v>
      </c>
      <c r="L28" s="154" t="s">
        <v>759</v>
      </c>
      <c r="M28" s="154" t="s">
        <v>761</v>
      </c>
      <c r="N28" s="154" t="s">
        <v>762</v>
      </c>
      <c r="O28" s="154" t="s">
        <v>759</v>
      </c>
      <c r="P28" s="154" t="s">
        <v>752</v>
      </c>
    </row>
    <row r="29" customFormat="false" ht="15" hidden="false" customHeight="false" outlineLevel="0" collapsed="false">
      <c r="A29" s="1" t="s">
        <v>763</v>
      </c>
      <c r="B29" s="1" t="s">
        <v>737</v>
      </c>
      <c r="C29" s="154" t="s">
        <v>764</v>
      </c>
      <c r="D29" s="154" t="s">
        <v>765</v>
      </c>
      <c r="E29" s="154" t="s">
        <v>766</v>
      </c>
      <c r="F29" s="154" t="s">
        <v>767</v>
      </c>
      <c r="G29" s="154" t="s">
        <v>768</v>
      </c>
      <c r="H29" s="154" t="s">
        <v>769</v>
      </c>
      <c r="I29" s="154" t="s">
        <v>770</v>
      </c>
      <c r="J29" s="154" t="s">
        <v>771</v>
      </c>
      <c r="K29" s="154" t="s">
        <v>772</v>
      </c>
      <c r="L29" s="154" t="s">
        <v>773</v>
      </c>
      <c r="M29" s="154" t="s">
        <v>774</v>
      </c>
      <c r="N29" s="154" t="s">
        <v>775</v>
      </c>
      <c r="O29" s="154" t="s">
        <v>776</v>
      </c>
      <c r="P29" s="154" t="s">
        <v>764</v>
      </c>
    </row>
    <row r="30" customFormat="false" ht="15" hidden="false" customHeight="false" outlineLevel="0" collapsed="false">
      <c r="A30" s="1" t="s">
        <v>777</v>
      </c>
      <c r="B30" s="1" t="s">
        <v>737</v>
      </c>
      <c r="C30" s="154" t="s">
        <v>778</v>
      </c>
      <c r="D30" s="154" t="s">
        <v>779</v>
      </c>
      <c r="E30" s="154" t="s">
        <v>780</v>
      </c>
      <c r="F30" s="154" t="s">
        <v>781</v>
      </c>
      <c r="G30" s="154" t="s">
        <v>782</v>
      </c>
      <c r="H30" s="154" t="s">
        <v>783</v>
      </c>
      <c r="I30" s="154" t="s">
        <v>784</v>
      </c>
      <c r="J30" s="154" t="s">
        <v>785</v>
      </c>
      <c r="K30" s="154" t="s">
        <v>786</v>
      </c>
      <c r="L30" s="154" t="s">
        <v>787</v>
      </c>
      <c r="M30" s="154" t="s">
        <v>788</v>
      </c>
      <c r="N30" s="154" t="s">
        <v>789</v>
      </c>
      <c r="O30" s="154" t="s">
        <v>790</v>
      </c>
      <c r="P30" s="154" t="s">
        <v>778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2026-07-08T06:53:17Z</dcterms:created>
  <dc:creator>openpyxl</dc:creator>
  <dc:description/>
  <dc:language>en-US</dc:language>
  <cp:lastModifiedBy>Isha Songara</cp:lastModifiedBy>
  <dcterms:modified xsi:type="dcterms:W3CDTF">2026-10-24T05:33:39Z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